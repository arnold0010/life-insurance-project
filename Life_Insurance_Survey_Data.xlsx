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RawData" sheetId="2" r:id="rId2"/>
    <sheet name="Analysis" sheetId="3" r:id="rId3"/>
  </sheets>
  <calcPr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name val="Calibri"/>
    </font>
    <font>
      <b/>
      <sz val="11"/>
      <name val="Calibri"/>
      <color rgb="FFFFFFFF"/>
    </font>
    <font>
      <b/>
      <sz val="11"/>
      <name val="Calibri"/>
    </font>
    <font>
      <b/>
      <sz val="16"/>
      <name val="Calibri"/>
      <color rgb="FF1F4E78"/>
    </font>
    <font>
      <b/>
      <sz val="12"/>
      <name val="Calibri"/>
      <color rgb="FF1F4E78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4" fillId="3" borderId="1" xfId="0" applyFont="1" applyFill="1" applyBorder="1"/>
    <xf numFmtId="164" fontId="0" fillId="0" borderId="1" xfId="0" applyNumberFormat="1" applyBorder="1"/>
    <xf numFmtId="164" fontId="2" fillId="0" borderId="1" xfId="0" applyNumberFormat="1" applyFont="1" applyBorder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00" customWidth="1"/>
  </cols>
  <sheetData>
    <row r="1">
      <c r="A1" t="inlineStr" s="3">
        <is>
          <t xml:space="preserve">A Study on Perception of Investors Investing in Life Insurance</t>
        </is>
      </c>
    </row>
    <row r="2">
      <c r="A2" t="inlineStr" s="4">
        <is>
          <t xml:space="preserve">Survey Data Workbook  -  MBA Internship Project</t>
        </is>
      </c>
    </row>
    <row r="3">
      <c r="A3" t="inlineStr" s="0">
        <is>
          <t xml:space="preserve"/>
        </is>
      </c>
    </row>
    <row r="4">
      <c r="A4" t="inlineStr" s="1">
        <is>
          <t xml:space="preserve">How to use this workbook:</t>
        </is>
      </c>
    </row>
    <row r="5">
      <c r="A5" t="inlineStr" s="0">
        <is>
          <t xml:space="preserve">1. 'RawData' holds 100 simulated respondent records. Replace these with your real survey responses.</t>
        </is>
      </c>
    </row>
    <row r="6">
      <c r="A6" t="inlineStr" s="0">
        <is>
          <t xml:space="preserve">2. 'Analysis' builds frequency counts and percentages automatically using COUNTIF formulas.</t>
        </is>
      </c>
    </row>
    <row r="7">
      <c r="A7" t="inlineStr" s="0">
        <is>
          <t xml:space="preserve">   As soon as you edit RawData, the Analysis tables update on their own.</t>
        </is>
      </c>
    </row>
    <row r="8">
      <c r="A8" t="inlineStr" s="0">
        <is>
          <t xml:space="preserve">3. Keep the response labels in RawData spelled exactly as in the dropdown lists, otherwise COUNTIF will miss them.</t>
        </is>
      </c>
    </row>
    <row r="9">
      <c r="A9" t="inlineStr" s="0">
        <is>
          <t xml:space="preserve"/>
        </is>
      </c>
    </row>
    <row r="10">
      <c r="A10" t="inlineStr" s="1">
        <is>
          <t xml:space="preserve">How to add charts for your report:</t>
        </is>
      </c>
    </row>
    <row r="11">
      <c r="A11" t="inlineStr" s="0">
        <is>
          <t xml:space="preserve">1. Go to the 'Analysis' sheet.</t>
        </is>
      </c>
    </row>
    <row r="12">
      <c r="A12" t="inlineStr" s="0">
        <is>
          <t xml:space="preserve">2. Select a table's Response column and its No. of Respondents column.</t>
        </is>
      </c>
    </row>
    <row r="13">
      <c r="A13" t="inlineStr" s="0">
        <is>
          <t xml:space="preserve">3. Insert &gt; Chart, then pick Pie or Column as suggested in the Word report.</t>
        </is>
      </c>
    </row>
    <row r="14">
      <c r="A14" t="inlineStr" s="0">
        <is>
          <t xml:space="preserve">4. Copy the finished chart into the matching table in the Word document.</t>
        </is>
      </c>
    </row>
    <row r="15">
      <c r="A15" t="inlineStr" s="0">
        <is>
          <t xml:space="preserve"/>
        </is>
      </c>
    </row>
    <row r="16">
      <c r="A16" t="inlineStr" s="0">
        <is>
          <t xml:space="preserve">Note: The figures provided are illustrative and meant to show the format.</t>
        </is>
      </c>
    </row>
    <row r="17">
      <c r="A17" t="inlineStr" s="0">
        <is>
          <t xml:space="preserve">Always present your own collected data in the final submission.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16" width="22" customWidth="1"/>
  </cols>
  <sheetData>
    <row r="1">
      <c r="A1" t="inlineStr" s="1">
        <is>
          <t xml:space="preserve">Respondent No.</t>
        </is>
      </c>
      <c r="B1" t="inlineStr" s="1">
        <is>
          <t xml:space="preserve">Gender</t>
        </is>
      </c>
      <c r="C1" t="inlineStr" s="1">
        <is>
          <t xml:space="preserve">Age Group</t>
        </is>
      </c>
      <c r="D1" t="inlineStr" s="1">
        <is>
          <t xml:space="preserve">Education</t>
        </is>
      </c>
      <c r="E1" t="inlineStr" s="1">
        <is>
          <t xml:space="preserve">Occupation</t>
        </is>
      </c>
      <c r="F1" t="inlineStr" s="1">
        <is>
          <t xml:space="preserve">Monthly Income</t>
        </is>
      </c>
      <c r="G1" t="inlineStr" s="1">
        <is>
          <t xml:space="preserve">Has Policy</t>
        </is>
      </c>
      <c r="H1" t="inlineStr" s="1">
        <is>
          <t xml:space="preserve">Purpose of Investment</t>
        </is>
      </c>
      <c r="I1" t="inlineStr" s="1">
        <is>
          <t xml:space="preserve">Preferred Company</t>
        </is>
      </c>
      <c r="J1" t="inlineStr" s="1">
        <is>
          <t xml:space="preserve">Preferred Plan</t>
        </is>
      </c>
      <c r="K1" t="inlineStr" s="1">
        <is>
          <t xml:space="preserve">Most Important Factor</t>
        </is>
      </c>
      <c r="L1" t="inlineStr" s="1">
        <is>
          <t xml:space="preserve">Source of Awareness</t>
        </is>
      </c>
      <c r="M1" t="inlineStr" s="1">
        <is>
          <t xml:space="preserve">Product Awareness Level</t>
        </is>
      </c>
      <c r="N1" t="inlineStr" s="1">
        <is>
          <t xml:space="preserve">Annual Premium</t>
        </is>
      </c>
      <c r="O1" t="inlineStr" s="1">
        <is>
          <t xml:space="preserve">Satisfaction Level</t>
        </is>
      </c>
      <c r="P1" t="inlineStr" s="1">
        <is>
          <t xml:space="preserve">Recommend to Others</t>
        </is>
      </c>
    </row>
    <row r="2">
      <c r="A2" s="0">
        <v>1</v>
      </c>
      <c r="B2" t="inlineStr" s="0">
        <is>
          <t xml:space="preserve">Male</t>
        </is>
      </c>
      <c r="C2" t="inlineStr" s="0">
        <is>
          <t xml:space="preserve">46-55</t>
        </is>
      </c>
      <c r="D2" t="inlineStr" s="0">
        <is>
          <t xml:space="preserve">Graduate</t>
        </is>
      </c>
      <c r="E2" t="inlineStr" s="0">
        <is>
          <t xml:space="preserve">Government Employee</t>
        </is>
      </c>
      <c r="F2" t="inlineStr" s="0">
        <is>
          <t xml:space="preserve">50,001-75,000</t>
        </is>
      </c>
      <c r="G2" t="inlineStr" s="0">
        <is>
          <t xml:space="preserve">Yes</t>
        </is>
      </c>
      <c r="H2" t="inlineStr" s="0">
        <is>
          <t xml:space="preserve">Family Security/Protection</t>
        </is>
      </c>
      <c r="I2" t="inlineStr" s="0">
        <is>
          <t xml:space="preserve">HDFC Life</t>
        </is>
      </c>
      <c r="J2" t="inlineStr" s="0">
        <is>
          <t xml:space="preserve">ULIP</t>
        </is>
      </c>
      <c r="K2" t="inlineStr" s="0">
        <is>
          <t xml:space="preserve">Company Reputation</t>
        </is>
      </c>
      <c r="L2" t="inlineStr" s="0">
        <is>
          <t xml:space="preserve">Friends &amp; Relatives</t>
        </is>
      </c>
      <c r="M2" t="inlineStr" s="0">
        <is>
          <t xml:space="preserve">Moderately aware</t>
        </is>
      </c>
      <c r="N2" t="inlineStr" s="0">
        <is>
          <t xml:space="preserve">10,000-25,000</t>
        </is>
      </c>
      <c r="O2" t="inlineStr" s="0">
        <is>
          <t xml:space="preserve">Satisfied</t>
        </is>
      </c>
      <c r="P2" t="inlineStr" s="0">
        <is>
          <t xml:space="preserve">Yes</t>
        </is>
      </c>
    </row>
    <row r="3">
      <c r="A3" s="0">
        <v>2</v>
      </c>
      <c r="B3" t="inlineStr" s="0">
        <is>
          <t xml:space="preserve">Female</t>
        </is>
      </c>
      <c r="C3" t="inlineStr" s="0">
        <is>
          <t xml:space="preserve">Below 25</t>
        </is>
      </c>
      <c r="D3" t="inlineStr" s="0">
        <is>
          <t xml:space="preserve">Graduate</t>
        </is>
      </c>
      <c r="E3" t="inlineStr" s="0">
        <is>
          <t xml:space="preserve">Government Employee</t>
        </is>
      </c>
      <c r="F3" t="inlineStr" s="0">
        <is>
          <t xml:space="preserve">50,001-75,000</t>
        </is>
      </c>
      <c r="G3" t="inlineStr" s="0">
        <is>
          <t xml:space="preserve">No</t>
        </is>
      </c>
      <c r="H3" t="inlineStr" s="0">
        <is>
          <t xml:space="preserve">Savings/Investment</t>
        </is>
      </c>
      <c r="I3" t="inlineStr" s="0">
        <is>
          <t xml:space="preserve">HDFC Life</t>
        </is>
      </c>
      <c r="J3" t="inlineStr" s="0">
        <is>
          <t xml:space="preserve">Pension/Retirement Plan</t>
        </is>
      </c>
      <c r="K3" t="inlineStr" s="0">
        <is>
          <t xml:space="preserve">Safety/Security</t>
        </is>
      </c>
      <c r="L3" t="inlineStr" s="0">
        <is>
          <t xml:space="preserve">Friends &amp; Relatives</t>
        </is>
      </c>
      <c r="M3" t="inlineStr" s="0">
        <is>
          <t xml:space="preserve">Moderately aware</t>
        </is>
      </c>
      <c r="N3" t="inlineStr" s="0">
        <is>
          <t xml:space="preserve">Below 10,000</t>
        </is>
      </c>
      <c r="O3" t="inlineStr" s="0">
        <is>
          <t xml:space="preserve">Dissatisfied</t>
        </is>
      </c>
      <c r="P3" t="inlineStr" s="0">
        <is>
          <t xml:space="preserve">Yes</t>
        </is>
      </c>
    </row>
    <row r="4">
      <c r="A4" s="0">
        <v>3</v>
      </c>
      <c r="B4" t="inlineStr" s="0">
        <is>
          <t xml:space="preserve">Female</t>
        </is>
      </c>
      <c r="C4" t="inlineStr" s="0">
        <is>
          <t xml:space="preserve">36-45</t>
        </is>
      </c>
      <c r="D4" t="inlineStr" s="0">
        <is>
          <t xml:space="preserve">Up to Higher Secondary</t>
        </is>
      </c>
      <c r="E4" t="inlineStr" s="0">
        <is>
          <t xml:space="preserve">Government Employee</t>
        </is>
      </c>
      <c r="F4" t="inlineStr" s="0">
        <is>
          <t xml:space="preserve">Above 75,000</t>
        </is>
      </c>
      <c r="G4" t="inlineStr" s="0">
        <is>
          <t xml:space="preserve">No</t>
        </is>
      </c>
      <c r="H4" t="inlineStr" s="0">
        <is>
          <t xml:space="preserve">Retirement Planning</t>
        </is>
      </c>
      <c r="I4" t="inlineStr" s="0">
        <is>
          <t xml:space="preserve">LIC</t>
        </is>
      </c>
      <c r="J4" t="inlineStr" s="0">
        <is>
          <t xml:space="preserve">Endowment Plan</t>
        </is>
      </c>
      <c r="K4" t="inlineStr" s="0">
        <is>
          <t xml:space="preserve">Liquidity</t>
        </is>
      </c>
      <c r="L4" t="inlineStr" s="0">
        <is>
          <t xml:space="preserve">Insurance Agents</t>
        </is>
      </c>
      <c r="M4" t="inlineStr" s="0">
        <is>
          <t xml:space="preserve">Fully aware</t>
        </is>
      </c>
      <c r="N4" t="inlineStr" s="0">
        <is>
          <t xml:space="preserve">25,001-50,000</t>
        </is>
      </c>
      <c r="O4" t="inlineStr" s="0">
        <is>
          <t xml:space="preserve">Neutral</t>
        </is>
      </c>
      <c r="P4" t="inlineStr" s="0">
        <is>
          <t xml:space="preserve">Yes</t>
        </is>
      </c>
    </row>
    <row r="5">
      <c r="A5" s="0">
        <v>4</v>
      </c>
      <c r="B5" t="inlineStr" s="0">
        <is>
          <t xml:space="preserve">Male</t>
        </is>
      </c>
      <c r="C5" t="inlineStr" s="0">
        <is>
          <t xml:space="preserve">Above 55</t>
        </is>
      </c>
      <c r="D5" t="inlineStr" s="0">
        <is>
          <t xml:space="preserve">Graduate</t>
        </is>
      </c>
      <c r="E5" t="inlineStr" s="0">
        <is>
          <t xml:space="preserve">Professional</t>
        </is>
      </c>
      <c r="F5" t="inlineStr" s="0">
        <is>
          <t xml:space="preserve">Above 75,000</t>
        </is>
      </c>
      <c r="G5" t="inlineStr" s="0">
        <is>
          <t xml:space="preserve">Yes</t>
        </is>
      </c>
      <c r="H5" t="inlineStr" s="0">
        <is>
          <t xml:space="preserve">Family Security/Protection</t>
        </is>
      </c>
      <c r="I5" t="inlineStr" s="0">
        <is>
          <t xml:space="preserve">Others (Private)</t>
        </is>
      </c>
      <c r="J5" t="inlineStr" s="0">
        <is>
          <t xml:space="preserve">Term Insurance</t>
        </is>
      </c>
      <c r="K5" t="inlineStr" s="0">
        <is>
          <t xml:space="preserve">Company Reputation</t>
        </is>
      </c>
      <c r="L5" t="inlineStr" s="0">
        <is>
          <t xml:space="preserve">Internet/Social Media</t>
        </is>
      </c>
      <c r="M5" t="inlineStr" s="0">
        <is>
          <t xml:space="preserve">Moderately aware</t>
        </is>
      </c>
      <c r="N5" t="inlineStr" s="0">
        <is>
          <t xml:space="preserve">Below 10,000</t>
        </is>
      </c>
      <c r="O5" t="inlineStr" s="0">
        <is>
          <t xml:space="preserve">Dissatisfied</t>
        </is>
      </c>
      <c r="P5" t="inlineStr" s="0">
        <is>
          <t xml:space="preserve">Yes</t>
        </is>
      </c>
    </row>
    <row r="6">
      <c r="A6" s="0">
        <v>5</v>
      </c>
      <c r="B6" t="inlineStr" s="0">
        <is>
          <t xml:space="preserve">Female</t>
        </is>
      </c>
      <c r="C6" t="inlineStr" s="0">
        <is>
          <t xml:space="preserve">46-55</t>
        </is>
      </c>
      <c r="D6" t="inlineStr" s="0">
        <is>
          <t xml:space="preserve">Graduate</t>
        </is>
      </c>
      <c r="E6" t="inlineStr" s="0">
        <is>
          <t xml:space="preserve">Student/Others</t>
        </is>
      </c>
      <c r="F6" t="inlineStr" s="0">
        <is>
          <t xml:space="preserve">25,000-50,000</t>
        </is>
      </c>
      <c r="G6" t="inlineStr" s="0">
        <is>
          <t xml:space="preserve">Yes</t>
        </is>
      </c>
      <c r="H6" t="inlineStr" s="0">
        <is>
          <t xml:space="preserve">Retirement Planning</t>
        </is>
      </c>
      <c r="I6" t="inlineStr" s="0">
        <is>
          <t xml:space="preserve">LIC</t>
        </is>
      </c>
      <c r="J6" t="inlineStr" s="0">
        <is>
          <t xml:space="preserve">Money-Back Plan</t>
        </is>
      </c>
      <c r="K6" t="inlineStr" s="0">
        <is>
          <t xml:space="preserve">Returns/Bonus</t>
        </is>
      </c>
      <c r="L6" t="inlineStr" s="0">
        <is>
          <t xml:space="preserve">Bank/Bancassurance</t>
        </is>
      </c>
      <c r="M6" t="inlineStr" s="0">
        <is>
          <t xml:space="preserve">Fully aware</t>
        </is>
      </c>
      <c r="N6" t="inlineStr" s="0">
        <is>
          <t xml:space="preserve">Above 50,000</t>
        </is>
      </c>
      <c r="O6" t="inlineStr" s="0">
        <is>
          <t xml:space="preserve">Satisfied</t>
        </is>
      </c>
      <c r="P6" t="inlineStr" s="0">
        <is>
          <t xml:space="preserve">Yes</t>
        </is>
      </c>
    </row>
    <row r="7">
      <c r="A7" s="0">
        <v>6</v>
      </c>
      <c r="B7" t="inlineStr" s="0">
        <is>
          <t xml:space="preserve">Male</t>
        </is>
      </c>
      <c r="C7" t="inlineStr" s="0">
        <is>
          <t xml:space="preserve">Above 55</t>
        </is>
      </c>
      <c r="D7" t="inlineStr" s="0">
        <is>
          <t xml:space="preserve">Graduate</t>
        </is>
      </c>
      <c r="E7" t="inlineStr" s="0">
        <is>
          <t xml:space="preserve">Government Employee</t>
        </is>
      </c>
      <c r="F7" t="inlineStr" s="0">
        <is>
          <t xml:space="preserve">25,000-50,000</t>
        </is>
      </c>
      <c r="G7" t="inlineStr" s="0">
        <is>
          <t xml:space="preserve">Yes</t>
        </is>
      </c>
      <c r="H7" t="inlineStr" s="0">
        <is>
          <t xml:space="preserve">Savings/Investment</t>
        </is>
      </c>
      <c r="I7" t="inlineStr" s="0">
        <is>
          <t xml:space="preserve">LIC</t>
        </is>
      </c>
      <c r="J7" t="inlineStr" s="0">
        <is>
          <t xml:space="preserve">Pension/Retirement Plan</t>
        </is>
      </c>
      <c r="K7" t="inlineStr" s="0">
        <is>
          <t xml:space="preserve">Tax Benefits</t>
        </is>
      </c>
      <c r="L7" t="inlineStr" s="0">
        <is>
          <t xml:space="preserve">Internet/Social Media</t>
        </is>
      </c>
      <c r="M7" t="inlineStr" s="0">
        <is>
          <t xml:space="preserve">Fully aware</t>
        </is>
      </c>
      <c r="N7" t="inlineStr" s="0">
        <is>
          <t xml:space="preserve">25,001-50,000</t>
        </is>
      </c>
      <c r="O7" t="inlineStr" s="0">
        <is>
          <t xml:space="preserve">Highly satisfied</t>
        </is>
      </c>
      <c r="P7" t="inlineStr" s="0">
        <is>
          <t xml:space="preserve">Yes</t>
        </is>
      </c>
    </row>
    <row r="8">
      <c r="A8" s="0">
        <v>7</v>
      </c>
      <c r="B8" t="inlineStr" s="0">
        <is>
          <t xml:space="preserve">Female</t>
        </is>
      </c>
      <c r="C8" t="inlineStr" s="0">
        <is>
          <t xml:space="preserve">36-45</t>
        </is>
      </c>
      <c r="D8" t="inlineStr" s="0">
        <is>
          <t xml:space="preserve">Graduate</t>
        </is>
      </c>
      <c r="E8" t="inlineStr" s="0">
        <is>
          <t xml:space="preserve">Private Employee</t>
        </is>
      </c>
      <c r="F8" t="inlineStr" s="0">
        <is>
          <t xml:space="preserve">25,000-50,000</t>
        </is>
      </c>
      <c r="G8" t="inlineStr" s="0">
        <is>
          <t xml:space="preserve">Yes</t>
        </is>
      </c>
      <c r="H8" t="inlineStr" s="0">
        <is>
          <t xml:space="preserve">Tax Benefits</t>
        </is>
      </c>
      <c r="I8" t="inlineStr" s="0">
        <is>
          <t xml:space="preserve">LIC</t>
        </is>
      </c>
      <c r="J8" t="inlineStr" s="0">
        <is>
          <t xml:space="preserve">Endowment Plan</t>
        </is>
      </c>
      <c r="K8" t="inlineStr" s="0">
        <is>
          <t xml:space="preserve">Returns/Bonus</t>
        </is>
      </c>
      <c r="L8" t="inlineStr" s="0">
        <is>
          <t xml:space="preserve">Insurance Agents</t>
        </is>
      </c>
      <c r="M8" t="inlineStr" s="0">
        <is>
          <t xml:space="preserve">Fully aware</t>
        </is>
      </c>
      <c r="N8" t="inlineStr" s="0">
        <is>
          <t xml:space="preserve">25,001-50,000</t>
        </is>
      </c>
      <c r="O8" t="inlineStr" s="0">
        <is>
          <t xml:space="preserve">Highly satisfied</t>
        </is>
      </c>
      <c r="P8" t="inlineStr" s="0">
        <is>
          <t xml:space="preserve">Yes</t>
        </is>
      </c>
    </row>
    <row r="9">
      <c r="A9" s="0">
        <v>8</v>
      </c>
      <c r="B9" t="inlineStr" s="0">
        <is>
          <t xml:space="preserve">Female</t>
        </is>
      </c>
      <c r="C9" t="inlineStr" s="0">
        <is>
          <t xml:space="preserve">36-45</t>
        </is>
      </c>
      <c r="D9" t="inlineStr" s="0">
        <is>
          <t xml:space="preserve">Professional/Others</t>
        </is>
      </c>
      <c r="E9" t="inlineStr" s="0">
        <is>
          <t xml:space="preserve">Private Employee</t>
        </is>
      </c>
      <c r="F9" t="inlineStr" s="0">
        <is>
          <t xml:space="preserve">Above 75,000</t>
        </is>
      </c>
      <c r="G9" t="inlineStr" s="0">
        <is>
          <t xml:space="preserve">Yes</t>
        </is>
      </c>
      <c r="H9" t="inlineStr" s="0">
        <is>
          <t xml:space="preserve">Savings/Investment</t>
        </is>
      </c>
      <c r="I9" t="inlineStr" s="0">
        <is>
          <t xml:space="preserve">LIC</t>
        </is>
      </c>
      <c r="J9" t="inlineStr" s="0">
        <is>
          <t xml:space="preserve">Pension/Retirement Plan</t>
        </is>
      </c>
      <c r="K9" t="inlineStr" s="0">
        <is>
          <t xml:space="preserve">Returns/Bonus</t>
        </is>
      </c>
      <c r="L9" t="inlineStr" s="0">
        <is>
          <t xml:space="preserve">Advertisements</t>
        </is>
      </c>
      <c r="M9" t="inlineStr" s="0">
        <is>
          <t xml:space="preserve">Not aware</t>
        </is>
      </c>
      <c r="N9" t="inlineStr" s="0">
        <is>
          <t xml:space="preserve">Below 10,000</t>
        </is>
      </c>
      <c r="O9" t="inlineStr" s="0">
        <is>
          <t xml:space="preserve">Highly satisfied</t>
        </is>
      </c>
      <c r="P9" t="inlineStr" s="0">
        <is>
          <t xml:space="preserve">Yes</t>
        </is>
      </c>
    </row>
    <row r="10">
      <c r="A10" s="0">
        <v>9</v>
      </c>
      <c r="B10" t="inlineStr" s="0">
        <is>
          <t xml:space="preserve">Male</t>
        </is>
      </c>
      <c r="C10" t="inlineStr" s="0">
        <is>
          <t xml:space="preserve">25-35</t>
        </is>
      </c>
      <c r="D10" t="inlineStr" s="0">
        <is>
          <t xml:space="preserve">Graduate</t>
        </is>
      </c>
      <c r="E10" t="inlineStr" s="0">
        <is>
          <t xml:space="preserve">Professional</t>
        </is>
      </c>
      <c r="F10" t="inlineStr" s="0">
        <is>
          <t xml:space="preserve">25,000-50,000</t>
        </is>
      </c>
      <c r="G10" t="inlineStr" s="0">
        <is>
          <t xml:space="preserve">Yes</t>
        </is>
      </c>
      <c r="H10" t="inlineStr" s="0">
        <is>
          <t xml:space="preserve">Family Security/Protection</t>
        </is>
      </c>
      <c r="I10" t="inlineStr" s="0">
        <is>
          <t xml:space="preserve">LIC</t>
        </is>
      </c>
      <c r="J10" t="inlineStr" s="0">
        <is>
          <t xml:space="preserve">Term Insurance</t>
        </is>
      </c>
      <c r="K10" t="inlineStr" s="0">
        <is>
          <t xml:space="preserve">Tax Benefits</t>
        </is>
      </c>
      <c r="L10" t="inlineStr" s="0">
        <is>
          <t xml:space="preserve">Insurance Agents</t>
        </is>
      </c>
      <c r="M10" t="inlineStr" s="0">
        <is>
          <t xml:space="preserve">Not aware</t>
        </is>
      </c>
      <c r="N10" t="inlineStr" s="0">
        <is>
          <t xml:space="preserve">Below 10,000</t>
        </is>
      </c>
      <c r="O10" t="inlineStr" s="0">
        <is>
          <t xml:space="preserve">Highly satisfied</t>
        </is>
      </c>
      <c r="P10" t="inlineStr" s="0">
        <is>
          <t xml:space="preserve">Yes</t>
        </is>
      </c>
    </row>
    <row r="11">
      <c r="A11" s="0">
        <v>10</v>
      </c>
      <c r="B11" t="inlineStr" s="0">
        <is>
          <t xml:space="preserve">Male</t>
        </is>
      </c>
      <c r="C11" t="inlineStr" s="0">
        <is>
          <t xml:space="preserve">36-45</t>
        </is>
      </c>
      <c r="D11" t="inlineStr" s="0">
        <is>
          <t xml:space="preserve">Graduate</t>
        </is>
      </c>
      <c r="E11" t="inlineStr" s="0">
        <is>
          <t xml:space="preserve">Professional</t>
        </is>
      </c>
      <c r="F11" t="inlineStr" s="0">
        <is>
          <t xml:space="preserve">Below 25,000</t>
        </is>
      </c>
      <c r="G11" t="inlineStr" s="0">
        <is>
          <t xml:space="preserve">Yes</t>
        </is>
      </c>
      <c r="H11" t="inlineStr" s="0">
        <is>
          <t xml:space="preserve">Tax Benefits</t>
        </is>
      </c>
      <c r="I11" t="inlineStr" s="0">
        <is>
          <t xml:space="preserve">LIC</t>
        </is>
      </c>
      <c r="J11" t="inlineStr" s="0">
        <is>
          <t xml:space="preserve">Endowment Plan</t>
        </is>
      </c>
      <c r="K11" t="inlineStr" s="0">
        <is>
          <t xml:space="preserve">Safety/Security</t>
        </is>
      </c>
      <c r="L11" t="inlineStr" s="0">
        <is>
          <t xml:space="preserve">Advertisements</t>
        </is>
      </c>
      <c r="M11" t="inlineStr" s="0">
        <is>
          <t xml:space="preserve">Not aware</t>
        </is>
      </c>
      <c r="N11" t="inlineStr" s="0">
        <is>
          <t xml:space="preserve">10,000-25,000</t>
        </is>
      </c>
      <c r="O11" t="inlineStr" s="0">
        <is>
          <t xml:space="preserve">Highly satisfied</t>
        </is>
      </c>
      <c r="P11" t="inlineStr" s="0">
        <is>
          <t xml:space="preserve">Yes</t>
        </is>
      </c>
    </row>
    <row r="12">
      <c r="A12" s="0">
        <v>11</v>
      </c>
      <c r="B12" t="inlineStr" s="0">
        <is>
          <t xml:space="preserve">Male</t>
        </is>
      </c>
      <c r="C12" t="inlineStr" s="0">
        <is>
          <t xml:space="preserve">36-45</t>
        </is>
      </c>
      <c r="D12" t="inlineStr" s="0">
        <is>
          <t xml:space="preserve">Graduate</t>
        </is>
      </c>
      <c r="E12" t="inlineStr" s="0">
        <is>
          <t xml:space="preserve">Business/Self-employed</t>
        </is>
      </c>
      <c r="F12" t="inlineStr" s="0">
        <is>
          <t xml:space="preserve">25,000-50,000</t>
        </is>
      </c>
      <c r="G12" t="inlineStr" s="0">
        <is>
          <t xml:space="preserve">Yes</t>
        </is>
      </c>
      <c r="H12" t="inlineStr" s="0">
        <is>
          <t xml:space="preserve">Tax Benefits</t>
        </is>
      </c>
      <c r="I12" t="inlineStr" s="0">
        <is>
          <t xml:space="preserve">LIC</t>
        </is>
      </c>
      <c r="J12" t="inlineStr" s="0">
        <is>
          <t xml:space="preserve">Pension/Retirement Plan</t>
        </is>
      </c>
      <c r="K12" t="inlineStr" s="0">
        <is>
          <t xml:space="preserve">Safety/Security</t>
        </is>
      </c>
      <c r="L12" t="inlineStr" s="0">
        <is>
          <t xml:space="preserve">Insurance Agents</t>
        </is>
      </c>
      <c r="M12" t="inlineStr" s="0">
        <is>
          <t xml:space="preserve">Moderately aware</t>
        </is>
      </c>
      <c r="N12" t="inlineStr" s="0">
        <is>
          <t xml:space="preserve">Below 10,000</t>
        </is>
      </c>
      <c r="O12" t="inlineStr" s="0">
        <is>
          <t xml:space="preserve">Highly dissatisfied</t>
        </is>
      </c>
      <c r="P12" t="inlineStr" s="0">
        <is>
          <t xml:space="preserve">Maybe</t>
        </is>
      </c>
    </row>
    <row r="13">
      <c r="A13" s="0">
        <v>12</v>
      </c>
      <c r="B13" t="inlineStr" s="0">
        <is>
          <t xml:space="preserve">Female</t>
        </is>
      </c>
      <c r="C13" t="inlineStr" s="0">
        <is>
          <t xml:space="preserve">36-45</t>
        </is>
      </c>
      <c r="D13" t="inlineStr" s="0">
        <is>
          <t xml:space="preserve">Post Graduate</t>
        </is>
      </c>
      <c r="E13" t="inlineStr" s="0">
        <is>
          <t xml:space="preserve">Private Employee</t>
        </is>
      </c>
      <c r="F13" t="inlineStr" s="0">
        <is>
          <t xml:space="preserve">Below 25,000</t>
        </is>
      </c>
      <c r="G13" t="inlineStr" s="0">
        <is>
          <t xml:space="preserve">Yes</t>
        </is>
      </c>
      <c r="H13" t="inlineStr" s="0">
        <is>
          <t xml:space="preserve">Tax Benefits</t>
        </is>
      </c>
      <c r="I13" t="inlineStr" s="0">
        <is>
          <t xml:space="preserve">Others (Private)</t>
        </is>
      </c>
      <c r="J13" t="inlineStr" s="0">
        <is>
          <t xml:space="preserve">ULIP</t>
        </is>
      </c>
      <c r="K13" t="inlineStr" s="0">
        <is>
          <t xml:space="preserve">Safety/Security</t>
        </is>
      </c>
      <c r="L13" t="inlineStr" s="0">
        <is>
          <t xml:space="preserve">Bank/Bancassurance</t>
        </is>
      </c>
      <c r="M13" t="inlineStr" s="0">
        <is>
          <t xml:space="preserve">Moderately aware</t>
        </is>
      </c>
      <c r="N13" t="inlineStr" s="0">
        <is>
          <t xml:space="preserve">10,000-25,000</t>
        </is>
      </c>
      <c r="O13" t="inlineStr" s="0">
        <is>
          <t xml:space="preserve">Highly satisfied</t>
        </is>
      </c>
      <c r="P13" t="inlineStr" s="0">
        <is>
          <t xml:space="preserve">Yes</t>
        </is>
      </c>
    </row>
    <row r="14">
      <c r="A14" s="0">
        <v>13</v>
      </c>
      <c r="B14" t="inlineStr" s="0">
        <is>
          <t xml:space="preserve">Female</t>
        </is>
      </c>
      <c r="C14" t="inlineStr" s="0">
        <is>
          <t xml:space="preserve">Above 55</t>
        </is>
      </c>
      <c r="D14" t="inlineStr" s="0">
        <is>
          <t xml:space="preserve">Graduate</t>
        </is>
      </c>
      <c r="E14" t="inlineStr" s="0">
        <is>
          <t xml:space="preserve">Private Employee</t>
        </is>
      </c>
      <c r="F14" t="inlineStr" s="0">
        <is>
          <t xml:space="preserve">Above 75,000</t>
        </is>
      </c>
      <c r="G14" t="inlineStr" s="0">
        <is>
          <t xml:space="preserve">Yes</t>
        </is>
      </c>
      <c r="H14" t="inlineStr" s="0">
        <is>
          <t xml:space="preserve">Tax Benefits</t>
        </is>
      </c>
      <c r="I14" t="inlineStr" s="0">
        <is>
          <t xml:space="preserve">LIC</t>
        </is>
      </c>
      <c r="J14" t="inlineStr" s="0">
        <is>
          <t xml:space="preserve">Pension/Retirement Plan</t>
        </is>
      </c>
      <c r="K14" t="inlineStr" s="0">
        <is>
          <t xml:space="preserve">Returns/Bonus</t>
        </is>
      </c>
      <c r="L14" t="inlineStr" s="0">
        <is>
          <t xml:space="preserve">Insurance Agents</t>
        </is>
      </c>
      <c r="M14" t="inlineStr" s="0">
        <is>
          <t xml:space="preserve">Not aware</t>
        </is>
      </c>
      <c r="N14" t="inlineStr" s="0">
        <is>
          <t xml:space="preserve">10,000-25,000</t>
        </is>
      </c>
      <c r="O14" t="inlineStr" s="0">
        <is>
          <t xml:space="preserve">Highly satisfied</t>
        </is>
      </c>
      <c r="P14" t="inlineStr" s="0">
        <is>
          <t xml:space="preserve">Yes</t>
        </is>
      </c>
    </row>
    <row r="15">
      <c r="A15" s="0">
        <v>14</v>
      </c>
      <c r="B15" t="inlineStr" s="0">
        <is>
          <t xml:space="preserve">Female</t>
        </is>
      </c>
      <c r="C15" t="inlineStr" s="0">
        <is>
          <t xml:space="preserve">Below 25</t>
        </is>
      </c>
      <c r="D15" t="inlineStr" s="0">
        <is>
          <t xml:space="preserve">Professional/Others</t>
        </is>
      </c>
      <c r="E15" t="inlineStr" s="0">
        <is>
          <t xml:space="preserve">Government Employee</t>
        </is>
      </c>
      <c r="F15" t="inlineStr" s="0">
        <is>
          <t xml:space="preserve">50,001-75,000</t>
        </is>
      </c>
      <c r="G15" t="inlineStr" s="0">
        <is>
          <t xml:space="preserve">Yes</t>
        </is>
      </c>
      <c r="H15" t="inlineStr" s="0">
        <is>
          <t xml:space="preserve">Tax Benefits</t>
        </is>
      </c>
      <c r="I15" t="inlineStr" s="0">
        <is>
          <t xml:space="preserve">SBI Life</t>
        </is>
      </c>
      <c r="J15" t="inlineStr" s="0">
        <is>
          <t xml:space="preserve">Term Insurance</t>
        </is>
      </c>
      <c r="K15" t="inlineStr" s="0">
        <is>
          <t xml:space="preserve">Returns/Bonus</t>
        </is>
      </c>
      <c r="L15" t="inlineStr" s="0">
        <is>
          <t xml:space="preserve">Internet/Social Media</t>
        </is>
      </c>
      <c r="M15" t="inlineStr" s="0">
        <is>
          <t xml:space="preserve">Fully aware</t>
        </is>
      </c>
      <c r="N15" t="inlineStr" s="0">
        <is>
          <t xml:space="preserve">Below 10,000</t>
        </is>
      </c>
      <c r="O15" t="inlineStr" s="0">
        <is>
          <t xml:space="preserve">Satisfied</t>
        </is>
      </c>
      <c r="P15" t="inlineStr" s="0">
        <is>
          <t xml:space="preserve">Yes</t>
        </is>
      </c>
    </row>
    <row r="16">
      <c r="A16" s="0">
        <v>15</v>
      </c>
      <c r="B16" t="inlineStr" s="0">
        <is>
          <t xml:space="preserve">Female</t>
        </is>
      </c>
      <c r="C16" t="inlineStr" s="0">
        <is>
          <t xml:space="preserve">36-45</t>
        </is>
      </c>
      <c r="D16" t="inlineStr" s="0">
        <is>
          <t xml:space="preserve">Professional/Others</t>
        </is>
      </c>
      <c r="E16" t="inlineStr" s="0">
        <is>
          <t xml:space="preserve">Business/Self-employed</t>
        </is>
      </c>
      <c r="F16" t="inlineStr" s="0">
        <is>
          <t xml:space="preserve">50,001-75,000</t>
        </is>
      </c>
      <c r="G16" t="inlineStr" s="0">
        <is>
          <t xml:space="preserve">Yes</t>
        </is>
      </c>
      <c r="H16" t="inlineStr" s="0">
        <is>
          <t xml:space="preserve">Family Security/Protection</t>
        </is>
      </c>
      <c r="I16" t="inlineStr" s="0">
        <is>
          <t xml:space="preserve">SBI Life</t>
        </is>
      </c>
      <c r="J16" t="inlineStr" s="0">
        <is>
          <t xml:space="preserve">Term Insurance</t>
        </is>
      </c>
      <c r="K16" t="inlineStr" s="0">
        <is>
          <t xml:space="preserve">Liquidity</t>
        </is>
      </c>
      <c r="L16" t="inlineStr" s="0">
        <is>
          <t xml:space="preserve">Insurance Agents</t>
        </is>
      </c>
      <c r="M16" t="inlineStr" s="0">
        <is>
          <t xml:space="preserve">Moderately aware</t>
        </is>
      </c>
      <c r="N16" t="inlineStr" s="0">
        <is>
          <t xml:space="preserve">10,000-25,000</t>
        </is>
      </c>
      <c r="O16" t="inlineStr" s="0">
        <is>
          <t xml:space="preserve">Neutral</t>
        </is>
      </c>
      <c r="P16" t="inlineStr" s="0">
        <is>
          <t xml:space="preserve">Yes</t>
        </is>
      </c>
    </row>
    <row r="17">
      <c r="A17" s="0">
        <v>16</v>
      </c>
      <c r="B17" t="inlineStr" s="0">
        <is>
          <t xml:space="preserve">Male</t>
        </is>
      </c>
      <c r="C17" t="inlineStr" s="0">
        <is>
          <t xml:space="preserve">46-55</t>
        </is>
      </c>
      <c r="D17" t="inlineStr" s="0">
        <is>
          <t xml:space="preserve">Graduate</t>
        </is>
      </c>
      <c r="E17" t="inlineStr" s="0">
        <is>
          <t xml:space="preserve">Government Employee</t>
        </is>
      </c>
      <c r="F17" t="inlineStr" s="0">
        <is>
          <t xml:space="preserve">25,000-50,000</t>
        </is>
      </c>
      <c r="G17" t="inlineStr" s="0">
        <is>
          <t xml:space="preserve">Yes</t>
        </is>
      </c>
      <c r="H17" t="inlineStr" s="0">
        <is>
          <t xml:space="preserve">Tax Benefits</t>
        </is>
      </c>
      <c r="I17" t="inlineStr" s="0">
        <is>
          <t xml:space="preserve">LIC</t>
        </is>
      </c>
      <c r="J17" t="inlineStr" s="0">
        <is>
          <t xml:space="preserve">ULIP</t>
        </is>
      </c>
      <c r="K17" t="inlineStr" s="0">
        <is>
          <t xml:space="preserve">Safety/Security</t>
        </is>
      </c>
      <c r="L17" t="inlineStr" s="0">
        <is>
          <t xml:space="preserve">Insurance Agents</t>
        </is>
      </c>
      <c r="M17" t="inlineStr" s="0">
        <is>
          <t xml:space="preserve">Moderately aware</t>
        </is>
      </c>
      <c r="N17" t="inlineStr" s="0">
        <is>
          <t xml:space="preserve">25,001-50,000</t>
        </is>
      </c>
      <c r="O17" t="inlineStr" s="0">
        <is>
          <t xml:space="preserve">Neutral</t>
        </is>
      </c>
      <c r="P17" t="inlineStr" s="0">
        <is>
          <t xml:space="preserve">Yes</t>
        </is>
      </c>
    </row>
    <row r="18">
      <c r="A18" s="0">
        <v>17</v>
      </c>
      <c r="B18" t="inlineStr" s="0">
        <is>
          <t xml:space="preserve">Male</t>
        </is>
      </c>
      <c r="C18" t="inlineStr" s="0">
        <is>
          <t xml:space="preserve">46-55</t>
        </is>
      </c>
      <c r="D18" t="inlineStr" s="0">
        <is>
          <t xml:space="preserve">Up to Higher Secondary</t>
        </is>
      </c>
      <c r="E18" t="inlineStr" s="0">
        <is>
          <t xml:space="preserve">Private Employee</t>
        </is>
      </c>
      <c r="F18" t="inlineStr" s="0">
        <is>
          <t xml:space="preserve">25,000-50,000</t>
        </is>
      </c>
      <c r="G18" t="inlineStr" s="0">
        <is>
          <t xml:space="preserve">Yes</t>
        </is>
      </c>
      <c r="H18" t="inlineStr" s="0">
        <is>
          <t xml:space="preserve">Retirement Planning</t>
        </is>
      </c>
      <c r="I18" t="inlineStr" s="0">
        <is>
          <t xml:space="preserve">HDFC Life</t>
        </is>
      </c>
      <c r="J18" t="inlineStr" s="0">
        <is>
          <t xml:space="preserve">Term Insurance</t>
        </is>
      </c>
      <c r="K18" t="inlineStr" s="0">
        <is>
          <t xml:space="preserve">Company Reputation</t>
        </is>
      </c>
      <c r="L18" t="inlineStr" s="0">
        <is>
          <t xml:space="preserve">Friends &amp; Relatives</t>
        </is>
      </c>
      <c r="M18" t="inlineStr" s="0">
        <is>
          <t xml:space="preserve">Not aware</t>
        </is>
      </c>
      <c r="N18" t="inlineStr" s="0">
        <is>
          <t xml:space="preserve">10,000-25,000</t>
        </is>
      </c>
      <c r="O18" t="inlineStr" s="0">
        <is>
          <t xml:space="preserve">Satisfied</t>
        </is>
      </c>
      <c r="P18" t="inlineStr" s="0">
        <is>
          <t xml:space="preserve">Yes</t>
        </is>
      </c>
    </row>
    <row r="19">
      <c r="A19" s="0">
        <v>18</v>
      </c>
      <c r="B19" t="inlineStr" s="0">
        <is>
          <t xml:space="preserve">Female</t>
        </is>
      </c>
      <c r="C19" t="inlineStr" s="0">
        <is>
          <t xml:space="preserve">Below 25</t>
        </is>
      </c>
      <c r="D19" t="inlineStr" s="0">
        <is>
          <t xml:space="preserve">Graduate</t>
        </is>
      </c>
      <c r="E19" t="inlineStr" s="0">
        <is>
          <t xml:space="preserve">Business/Self-employed</t>
        </is>
      </c>
      <c r="F19" t="inlineStr" s="0">
        <is>
          <t xml:space="preserve">50,001-75,000</t>
        </is>
      </c>
      <c r="G19" t="inlineStr" s="0">
        <is>
          <t xml:space="preserve">Yes</t>
        </is>
      </c>
      <c r="H19" t="inlineStr" s="0">
        <is>
          <t xml:space="preserve">Tax Benefits</t>
        </is>
      </c>
      <c r="I19" t="inlineStr" s="0">
        <is>
          <t xml:space="preserve">LIC</t>
        </is>
      </c>
      <c r="J19" t="inlineStr" s="0">
        <is>
          <t xml:space="preserve">Term Insurance</t>
        </is>
      </c>
      <c r="K19" t="inlineStr" s="0">
        <is>
          <t xml:space="preserve">Safety/Security</t>
        </is>
      </c>
      <c r="L19" t="inlineStr" s="0">
        <is>
          <t xml:space="preserve">Insurance Agents</t>
        </is>
      </c>
      <c r="M19" t="inlineStr" s="0">
        <is>
          <t xml:space="preserve">Moderately aware</t>
        </is>
      </c>
      <c r="N19" t="inlineStr" s="0">
        <is>
          <t xml:space="preserve">25,001-50,000</t>
        </is>
      </c>
      <c r="O19" t="inlineStr" s="0">
        <is>
          <t xml:space="preserve">Satisfied</t>
        </is>
      </c>
      <c r="P19" t="inlineStr" s="0">
        <is>
          <t xml:space="preserve">Yes</t>
        </is>
      </c>
    </row>
    <row r="20">
      <c r="A20" s="0">
        <v>19</v>
      </c>
      <c r="B20" t="inlineStr" s="0">
        <is>
          <t xml:space="preserve">Male</t>
        </is>
      </c>
      <c r="C20" t="inlineStr" s="0">
        <is>
          <t xml:space="preserve">36-45</t>
        </is>
      </c>
      <c r="D20" t="inlineStr" s="0">
        <is>
          <t xml:space="preserve">Professional/Others</t>
        </is>
      </c>
      <c r="E20" t="inlineStr" s="0">
        <is>
          <t xml:space="preserve">Private Employee</t>
        </is>
      </c>
      <c r="F20" t="inlineStr" s="0">
        <is>
          <t xml:space="preserve">Below 25,000</t>
        </is>
      </c>
      <c r="G20" t="inlineStr" s="0">
        <is>
          <t xml:space="preserve">Yes</t>
        </is>
      </c>
      <c r="H20" t="inlineStr" s="0">
        <is>
          <t xml:space="preserve">Tax Benefits</t>
        </is>
      </c>
      <c r="I20" t="inlineStr" s="0">
        <is>
          <t xml:space="preserve">LIC</t>
        </is>
      </c>
      <c r="J20" t="inlineStr" s="0">
        <is>
          <t xml:space="preserve">Money-Back Plan</t>
        </is>
      </c>
      <c r="K20" t="inlineStr" s="0">
        <is>
          <t xml:space="preserve">Returns/Bonus</t>
        </is>
      </c>
      <c r="L20" t="inlineStr" s="0">
        <is>
          <t xml:space="preserve">Advertisements</t>
        </is>
      </c>
      <c r="M20" t="inlineStr" s="0">
        <is>
          <t xml:space="preserve">Moderately aware</t>
        </is>
      </c>
      <c r="N20" t="inlineStr" s="0">
        <is>
          <t xml:space="preserve">10,000-25,000</t>
        </is>
      </c>
      <c r="O20" t="inlineStr" s="0">
        <is>
          <t xml:space="preserve">Satisfied</t>
        </is>
      </c>
      <c r="P20" t="inlineStr" s="0">
        <is>
          <t xml:space="preserve">Maybe</t>
        </is>
      </c>
    </row>
    <row r="21">
      <c r="A21" s="0">
        <v>20</v>
      </c>
      <c r="B21" t="inlineStr" s="0">
        <is>
          <t xml:space="preserve">Female</t>
        </is>
      </c>
      <c r="C21" t="inlineStr" s="0">
        <is>
          <t xml:space="preserve">25-35</t>
        </is>
      </c>
      <c r="D21" t="inlineStr" s="0">
        <is>
          <t xml:space="preserve">Post Graduate</t>
        </is>
      </c>
      <c r="E21" t="inlineStr" s="0">
        <is>
          <t xml:space="preserve">Private Employee</t>
        </is>
      </c>
      <c r="F21" t="inlineStr" s="0">
        <is>
          <t xml:space="preserve">50,001-75,000</t>
        </is>
      </c>
      <c r="G21" t="inlineStr" s="0">
        <is>
          <t xml:space="preserve">Yes</t>
        </is>
      </c>
      <c r="H21" t="inlineStr" s="0">
        <is>
          <t xml:space="preserve">Savings/Investment</t>
        </is>
      </c>
      <c r="I21" t="inlineStr" s="0">
        <is>
          <t xml:space="preserve">LIC</t>
        </is>
      </c>
      <c r="J21" t="inlineStr" s="0">
        <is>
          <t xml:space="preserve">ULIP</t>
        </is>
      </c>
      <c r="K21" t="inlineStr" s="0">
        <is>
          <t xml:space="preserve">Safety/Security</t>
        </is>
      </c>
      <c r="L21" t="inlineStr" s="0">
        <is>
          <t xml:space="preserve">Insurance Agents</t>
        </is>
      </c>
      <c r="M21" t="inlineStr" s="0">
        <is>
          <t xml:space="preserve">Moderately aware</t>
        </is>
      </c>
      <c r="N21" t="inlineStr" s="0">
        <is>
          <t xml:space="preserve">Above 50,000</t>
        </is>
      </c>
      <c r="O21" t="inlineStr" s="0">
        <is>
          <t xml:space="preserve">Satisfied</t>
        </is>
      </c>
      <c r="P21" t="inlineStr" s="0">
        <is>
          <t xml:space="preserve">No</t>
        </is>
      </c>
    </row>
    <row r="22">
      <c r="A22" s="0">
        <v>21</v>
      </c>
      <c r="B22" t="inlineStr" s="0">
        <is>
          <t xml:space="preserve">Male</t>
        </is>
      </c>
      <c r="C22" t="inlineStr" s="0">
        <is>
          <t xml:space="preserve">25-35</t>
        </is>
      </c>
      <c r="D22" t="inlineStr" s="0">
        <is>
          <t xml:space="preserve">Professional/Others</t>
        </is>
      </c>
      <c r="E22" t="inlineStr" s="0">
        <is>
          <t xml:space="preserve">Private Employee</t>
        </is>
      </c>
      <c r="F22" t="inlineStr" s="0">
        <is>
          <t xml:space="preserve">Below 25,000</t>
        </is>
      </c>
      <c r="G22" t="inlineStr" s="0">
        <is>
          <t xml:space="preserve">Yes</t>
        </is>
      </c>
      <c r="H22" t="inlineStr" s="0">
        <is>
          <t xml:space="preserve">Family Security/Protection</t>
        </is>
      </c>
      <c r="I22" t="inlineStr" s="0">
        <is>
          <t xml:space="preserve">LIC</t>
        </is>
      </c>
      <c r="J22" t="inlineStr" s="0">
        <is>
          <t xml:space="preserve">Endowment Plan</t>
        </is>
      </c>
      <c r="K22" t="inlineStr" s="0">
        <is>
          <t xml:space="preserve">Tax Benefits</t>
        </is>
      </c>
      <c r="L22" t="inlineStr" s="0">
        <is>
          <t xml:space="preserve">Friends &amp; Relatives</t>
        </is>
      </c>
      <c r="M22" t="inlineStr" s="0">
        <is>
          <t xml:space="preserve">Moderately aware</t>
        </is>
      </c>
      <c r="N22" t="inlineStr" s="0">
        <is>
          <t xml:space="preserve">25,001-50,000</t>
        </is>
      </c>
      <c r="O22" t="inlineStr" s="0">
        <is>
          <t xml:space="preserve">Highly dissatisfied</t>
        </is>
      </c>
      <c r="P22" t="inlineStr" s="0">
        <is>
          <t xml:space="preserve">Yes</t>
        </is>
      </c>
    </row>
    <row r="23">
      <c r="A23" s="0">
        <v>22</v>
      </c>
      <c r="B23" t="inlineStr" s="0">
        <is>
          <t xml:space="preserve">Male</t>
        </is>
      </c>
      <c r="C23" t="inlineStr" s="0">
        <is>
          <t xml:space="preserve">25-35</t>
        </is>
      </c>
      <c r="D23" t="inlineStr" s="0">
        <is>
          <t xml:space="preserve">Post Graduate</t>
        </is>
      </c>
      <c r="E23" t="inlineStr" s="0">
        <is>
          <t xml:space="preserve">Business/Self-employed</t>
        </is>
      </c>
      <c r="F23" t="inlineStr" s="0">
        <is>
          <t xml:space="preserve">25,000-50,000</t>
        </is>
      </c>
      <c r="G23" t="inlineStr" s="0">
        <is>
          <t xml:space="preserve">Yes</t>
        </is>
      </c>
      <c r="H23" t="inlineStr" s="0">
        <is>
          <t xml:space="preserve">Family Security/Protection</t>
        </is>
      </c>
      <c r="I23" t="inlineStr" s="0">
        <is>
          <t xml:space="preserve">Others (Private)</t>
        </is>
      </c>
      <c r="J23" t="inlineStr" s="0">
        <is>
          <t xml:space="preserve">Term Insurance</t>
        </is>
      </c>
      <c r="K23" t="inlineStr" s="0">
        <is>
          <t xml:space="preserve">Safety/Security</t>
        </is>
      </c>
      <c r="L23" t="inlineStr" s="0">
        <is>
          <t xml:space="preserve">Friends &amp; Relatives</t>
        </is>
      </c>
      <c r="M23" t="inlineStr" s="0">
        <is>
          <t xml:space="preserve">Fully aware</t>
        </is>
      </c>
      <c r="N23" t="inlineStr" s="0">
        <is>
          <t xml:space="preserve">Above 50,000</t>
        </is>
      </c>
      <c r="O23" t="inlineStr" s="0">
        <is>
          <t xml:space="preserve">Satisfied</t>
        </is>
      </c>
      <c r="P23" t="inlineStr" s="0">
        <is>
          <t xml:space="preserve">Yes</t>
        </is>
      </c>
    </row>
    <row r="24">
      <c r="A24" s="0">
        <v>23</v>
      </c>
      <c r="B24" t="inlineStr" s="0">
        <is>
          <t xml:space="preserve">Male</t>
        </is>
      </c>
      <c r="C24" t="inlineStr" s="0">
        <is>
          <t xml:space="preserve">25-35</t>
        </is>
      </c>
      <c r="D24" t="inlineStr" s="0">
        <is>
          <t xml:space="preserve">Post Graduate</t>
        </is>
      </c>
      <c r="E24" t="inlineStr" s="0">
        <is>
          <t xml:space="preserve">Government Employee</t>
        </is>
      </c>
      <c r="F24" t="inlineStr" s="0">
        <is>
          <t xml:space="preserve">Above 75,000</t>
        </is>
      </c>
      <c r="G24" t="inlineStr" s="0">
        <is>
          <t xml:space="preserve">Yes</t>
        </is>
      </c>
      <c r="H24" t="inlineStr" s="0">
        <is>
          <t xml:space="preserve">Tax Benefits</t>
        </is>
      </c>
      <c r="I24" t="inlineStr" s="0">
        <is>
          <t xml:space="preserve">SBI Life</t>
        </is>
      </c>
      <c r="J24" t="inlineStr" s="0">
        <is>
          <t xml:space="preserve">Endowment Plan</t>
        </is>
      </c>
      <c r="K24" t="inlineStr" s="0">
        <is>
          <t xml:space="preserve">Returns/Bonus</t>
        </is>
      </c>
      <c r="L24" t="inlineStr" s="0">
        <is>
          <t xml:space="preserve">Advertisements</t>
        </is>
      </c>
      <c r="M24" t="inlineStr" s="0">
        <is>
          <t xml:space="preserve">Moderately aware</t>
        </is>
      </c>
      <c r="N24" t="inlineStr" s="0">
        <is>
          <t xml:space="preserve">Above 50,000</t>
        </is>
      </c>
      <c r="O24" t="inlineStr" s="0">
        <is>
          <t xml:space="preserve">Satisfied</t>
        </is>
      </c>
      <c r="P24" t="inlineStr" s="0">
        <is>
          <t xml:space="preserve">Yes</t>
        </is>
      </c>
    </row>
    <row r="25">
      <c r="A25" s="0">
        <v>24</v>
      </c>
      <c r="B25" t="inlineStr" s="0">
        <is>
          <t xml:space="preserve">Female</t>
        </is>
      </c>
      <c r="C25" t="inlineStr" s="0">
        <is>
          <t xml:space="preserve">25-35</t>
        </is>
      </c>
      <c r="D25" t="inlineStr" s="0">
        <is>
          <t xml:space="preserve">Graduate</t>
        </is>
      </c>
      <c r="E25" t="inlineStr" s="0">
        <is>
          <t xml:space="preserve">Student/Others</t>
        </is>
      </c>
      <c r="F25" t="inlineStr" s="0">
        <is>
          <t xml:space="preserve">25,000-50,000</t>
        </is>
      </c>
      <c r="G25" t="inlineStr" s="0">
        <is>
          <t xml:space="preserve">Yes</t>
        </is>
      </c>
      <c r="H25" t="inlineStr" s="0">
        <is>
          <t xml:space="preserve">Tax Benefits</t>
        </is>
      </c>
      <c r="I25" t="inlineStr" s="0">
        <is>
          <t xml:space="preserve">SBI Life</t>
        </is>
      </c>
      <c r="J25" t="inlineStr" s="0">
        <is>
          <t xml:space="preserve">Term Insurance</t>
        </is>
      </c>
      <c r="K25" t="inlineStr" s="0">
        <is>
          <t xml:space="preserve">Safety/Security</t>
        </is>
      </c>
      <c r="L25" t="inlineStr" s="0">
        <is>
          <t xml:space="preserve">Internet/Social Media</t>
        </is>
      </c>
      <c r="M25" t="inlineStr" s="0">
        <is>
          <t xml:space="preserve">Moderately aware</t>
        </is>
      </c>
      <c r="N25" t="inlineStr" s="0">
        <is>
          <t xml:space="preserve">10,000-25,000</t>
        </is>
      </c>
      <c r="O25" t="inlineStr" s="0">
        <is>
          <t xml:space="preserve">Satisfied</t>
        </is>
      </c>
      <c r="P25" t="inlineStr" s="0">
        <is>
          <t xml:space="preserve">Yes</t>
        </is>
      </c>
    </row>
    <row r="26">
      <c r="A26" s="0">
        <v>25</v>
      </c>
      <c r="B26" t="inlineStr" s="0">
        <is>
          <t xml:space="preserve">Male</t>
        </is>
      </c>
      <c r="C26" t="inlineStr" s="0">
        <is>
          <t xml:space="preserve">25-35</t>
        </is>
      </c>
      <c r="D26" t="inlineStr" s="0">
        <is>
          <t xml:space="preserve">Professional/Others</t>
        </is>
      </c>
      <c r="E26" t="inlineStr" s="0">
        <is>
          <t xml:space="preserve">Private Employee</t>
        </is>
      </c>
      <c r="F26" t="inlineStr" s="0">
        <is>
          <t xml:space="preserve">25,000-50,000</t>
        </is>
      </c>
      <c r="G26" t="inlineStr" s="0">
        <is>
          <t xml:space="preserve">Yes</t>
        </is>
      </c>
      <c r="H26" t="inlineStr" s="0">
        <is>
          <t xml:space="preserve">Family Security/Protection</t>
        </is>
      </c>
      <c r="I26" t="inlineStr" s="0">
        <is>
          <t xml:space="preserve">LIC</t>
        </is>
      </c>
      <c r="J26" t="inlineStr" s="0">
        <is>
          <t xml:space="preserve">Term Insurance</t>
        </is>
      </c>
      <c r="K26" t="inlineStr" s="0">
        <is>
          <t xml:space="preserve">Company Reputation</t>
        </is>
      </c>
      <c r="L26" t="inlineStr" s="0">
        <is>
          <t xml:space="preserve">Insurance Agents</t>
        </is>
      </c>
      <c r="M26" t="inlineStr" s="0">
        <is>
          <t xml:space="preserve">Moderately aware</t>
        </is>
      </c>
      <c r="N26" t="inlineStr" s="0">
        <is>
          <t xml:space="preserve">25,001-50,000</t>
        </is>
      </c>
      <c r="O26" t="inlineStr" s="0">
        <is>
          <t xml:space="preserve">Satisfied</t>
        </is>
      </c>
      <c r="P26" t="inlineStr" s="0">
        <is>
          <t xml:space="preserve">Yes</t>
        </is>
      </c>
    </row>
    <row r="27">
      <c r="A27" s="0">
        <v>26</v>
      </c>
      <c r="B27" t="inlineStr" s="0">
        <is>
          <t xml:space="preserve">Male</t>
        </is>
      </c>
      <c r="C27" t="inlineStr" s="0">
        <is>
          <t xml:space="preserve">Above 55</t>
        </is>
      </c>
      <c r="D27" t="inlineStr" s="0">
        <is>
          <t xml:space="preserve">Post Graduate</t>
        </is>
      </c>
      <c r="E27" t="inlineStr" s="0">
        <is>
          <t xml:space="preserve">Private Employee</t>
        </is>
      </c>
      <c r="F27" t="inlineStr" s="0">
        <is>
          <t xml:space="preserve">50,001-75,000</t>
        </is>
      </c>
      <c r="G27" t="inlineStr" s="0">
        <is>
          <t xml:space="preserve">Yes</t>
        </is>
      </c>
      <c r="H27" t="inlineStr" s="0">
        <is>
          <t xml:space="preserve">Family Security/Protection</t>
        </is>
      </c>
      <c r="I27" t="inlineStr" s="0">
        <is>
          <t xml:space="preserve">HDFC Life</t>
        </is>
      </c>
      <c r="J27" t="inlineStr" s="0">
        <is>
          <t xml:space="preserve">Money-Back Plan</t>
        </is>
      </c>
      <c r="K27" t="inlineStr" s="0">
        <is>
          <t xml:space="preserve">Tax Benefits</t>
        </is>
      </c>
      <c r="L27" t="inlineStr" s="0">
        <is>
          <t xml:space="preserve">Bank/Bancassurance</t>
        </is>
      </c>
      <c r="M27" t="inlineStr" s="0">
        <is>
          <t xml:space="preserve">Fully aware</t>
        </is>
      </c>
      <c r="N27" t="inlineStr" s="0">
        <is>
          <t xml:space="preserve">10,000-25,000</t>
        </is>
      </c>
      <c r="O27" t="inlineStr" s="0">
        <is>
          <t xml:space="preserve">Satisfied</t>
        </is>
      </c>
      <c r="P27" t="inlineStr" s="0">
        <is>
          <t xml:space="preserve">Yes</t>
        </is>
      </c>
    </row>
    <row r="28">
      <c r="A28" s="0">
        <v>27</v>
      </c>
      <c r="B28" t="inlineStr" s="0">
        <is>
          <t xml:space="preserve">Female</t>
        </is>
      </c>
      <c r="C28" t="inlineStr" s="0">
        <is>
          <t xml:space="preserve">Below 25</t>
        </is>
      </c>
      <c r="D28" t="inlineStr" s="0">
        <is>
          <t xml:space="preserve">Graduate</t>
        </is>
      </c>
      <c r="E28" t="inlineStr" s="0">
        <is>
          <t xml:space="preserve">Business/Self-employed</t>
        </is>
      </c>
      <c r="F28" t="inlineStr" s="0">
        <is>
          <t xml:space="preserve">Above 75,000</t>
        </is>
      </c>
      <c r="G28" t="inlineStr" s="0">
        <is>
          <t xml:space="preserve">Yes</t>
        </is>
      </c>
      <c r="H28" t="inlineStr" s="0">
        <is>
          <t xml:space="preserve">Retirement Planning</t>
        </is>
      </c>
      <c r="I28" t="inlineStr" s="0">
        <is>
          <t xml:space="preserve">SBI Life</t>
        </is>
      </c>
      <c r="J28" t="inlineStr" s="0">
        <is>
          <t xml:space="preserve">Term Insurance</t>
        </is>
      </c>
      <c r="K28" t="inlineStr" s="0">
        <is>
          <t xml:space="preserve">Liquidity</t>
        </is>
      </c>
      <c r="L28" t="inlineStr" s="0">
        <is>
          <t xml:space="preserve">Internet/Social Media</t>
        </is>
      </c>
      <c r="M28" t="inlineStr" s="0">
        <is>
          <t xml:space="preserve">Moderately aware</t>
        </is>
      </c>
      <c r="N28" t="inlineStr" s="0">
        <is>
          <t xml:space="preserve">Below 10,000</t>
        </is>
      </c>
      <c r="O28" t="inlineStr" s="0">
        <is>
          <t xml:space="preserve">Highly satisfied</t>
        </is>
      </c>
      <c r="P28" t="inlineStr" s="0">
        <is>
          <t xml:space="preserve">Yes</t>
        </is>
      </c>
    </row>
    <row r="29">
      <c r="A29" s="0">
        <v>28</v>
      </c>
      <c r="B29" t="inlineStr" s="0">
        <is>
          <t xml:space="preserve">Male</t>
        </is>
      </c>
      <c r="C29" t="inlineStr" s="0">
        <is>
          <t xml:space="preserve">36-45</t>
        </is>
      </c>
      <c r="D29" t="inlineStr" s="0">
        <is>
          <t xml:space="preserve">Post Graduate</t>
        </is>
      </c>
      <c r="E29" t="inlineStr" s="0">
        <is>
          <t xml:space="preserve">Business/Self-employed</t>
        </is>
      </c>
      <c r="F29" t="inlineStr" s="0">
        <is>
          <t xml:space="preserve">25,000-50,000</t>
        </is>
      </c>
      <c r="G29" t="inlineStr" s="0">
        <is>
          <t xml:space="preserve">Yes</t>
        </is>
      </c>
      <c r="H29" t="inlineStr" s="0">
        <is>
          <t xml:space="preserve">Savings/Investment</t>
        </is>
      </c>
      <c r="I29" t="inlineStr" s="0">
        <is>
          <t xml:space="preserve">LIC</t>
        </is>
      </c>
      <c r="J29" t="inlineStr" s="0">
        <is>
          <t xml:space="preserve">Endowment Plan</t>
        </is>
      </c>
      <c r="K29" t="inlineStr" s="0">
        <is>
          <t xml:space="preserve">Returns/Bonus</t>
        </is>
      </c>
      <c r="L29" t="inlineStr" s="0">
        <is>
          <t xml:space="preserve">Insurance Agents</t>
        </is>
      </c>
      <c r="M29" t="inlineStr" s="0">
        <is>
          <t xml:space="preserve">Not aware</t>
        </is>
      </c>
      <c r="N29" t="inlineStr" s="0">
        <is>
          <t xml:space="preserve">Below 10,000</t>
        </is>
      </c>
      <c r="O29" t="inlineStr" s="0">
        <is>
          <t xml:space="preserve">Satisfied</t>
        </is>
      </c>
      <c r="P29" t="inlineStr" s="0">
        <is>
          <t xml:space="preserve">Yes</t>
        </is>
      </c>
    </row>
    <row r="30">
      <c r="A30" s="0">
        <v>29</v>
      </c>
      <c r="B30" t="inlineStr" s="0">
        <is>
          <t xml:space="preserve">Male</t>
        </is>
      </c>
      <c r="C30" t="inlineStr" s="0">
        <is>
          <t xml:space="preserve">25-35</t>
        </is>
      </c>
      <c r="D30" t="inlineStr" s="0">
        <is>
          <t xml:space="preserve">Graduate</t>
        </is>
      </c>
      <c r="E30" t="inlineStr" s="0">
        <is>
          <t xml:space="preserve">Private Employee</t>
        </is>
      </c>
      <c r="F30" t="inlineStr" s="0">
        <is>
          <t xml:space="preserve">25,000-50,000</t>
        </is>
      </c>
      <c r="G30" t="inlineStr" s="0">
        <is>
          <t xml:space="preserve">Yes</t>
        </is>
      </c>
      <c r="H30" t="inlineStr" s="0">
        <is>
          <t xml:space="preserve">Savings/Investment</t>
        </is>
      </c>
      <c r="I30" t="inlineStr" s="0">
        <is>
          <t xml:space="preserve">LIC</t>
        </is>
      </c>
      <c r="J30" t="inlineStr" s="0">
        <is>
          <t xml:space="preserve">Term Insurance</t>
        </is>
      </c>
      <c r="K30" t="inlineStr" s="0">
        <is>
          <t xml:space="preserve">Tax Benefits</t>
        </is>
      </c>
      <c r="L30" t="inlineStr" s="0">
        <is>
          <t xml:space="preserve">Internet/Social Media</t>
        </is>
      </c>
      <c r="M30" t="inlineStr" s="0">
        <is>
          <t xml:space="preserve">Moderately aware</t>
        </is>
      </c>
      <c r="N30" t="inlineStr" s="0">
        <is>
          <t xml:space="preserve">25,001-50,000</t>
        </is>
      </c>
      <c r="O30" t="inlineStr" s="0">
        <is>
          <t xml:space="preserve">Satisfied</t>
        </is>
      </c>
      <c r="P30" t="inlineStr" s="0">
        <is>
          <t xml:space="preserve">Maybe</t>
        </is>
      </c>
    </row>
    <row r="31">
      <c r="A31" s="0">
        <v>30</v>
      </c>
      <c r="B31" t="inlineStr" s="0">
        <is>
          <t xml:space="preserve">Male</t>
        </is>
      </c>
      <c r="C31" t="inlineStr" s="0">
        <is>
          <t xml:space="preserve">46-55</t>
        </is>
      </c>
      <c r="D31" t="inlineStr" s="0">
        <is>
          <t xml:space="preserve">Graduate</t>
        </is>
      </c>
      <c r="E31" t="inlineStr" s="0">
        <is>
          <t xml:space="preserve">Private Employee</t>
        </is>
      </c>
      <c r="F31" t="inlineStr" s="0">
        <is>
          <t xml:space="preserve">Below 25,000</t>
        </is>
      </c>
      <c r="G31" t="inlineStr" s="0">
        <is>
          <t xml:space="preserve">Yes</t>
        </is>
      </c>
      <c r="H31" t="inlineStr" s="0">
        <is>
          <t xml:space="preserve">Family Security/Protection</t>
        </is>
      </c>
      <c r="I31" t="inlineStr" s="0">
        <is>
          <t xml:space="preserve">LIC</t>
        </is>
      </c>
      <c r="J31" t="inlineStr" s="0">
        <is>
          <t xml:space="preserve">Endowment Plan</t>
        </is>
      </c>
      <c r="K31" t="inlineStr" s="0">
        <is>
          <t xml:space="preserve">Company Reputation</t>
        </is>
      </c>
      <c r="L31" t="inlineStr" s="0">
        <is>
          <t xml:space="preserve">Friends &amp; Relatives</t>
        </is>
      </c>
      <c r="M31" t="inlineStr" s="0">
        <is>
          <t xml:space="preserve">Moderately aware</t>
        </is>
      </c>
      <c r="N31" t="inlineStr" s="0">
        <is>
          <t xml:space="preserve">25,001-50,000</t>
        </is>
      </c>
      <c r="O31" t="inlineStr" s="0">
        <is>
          <t xml:space="preserve">Dissatisfied</t>
        </is>
      </c>
      <c r="P31" t="inlineStr" s="0">
        <is>
          <t xml:space="preserve">Yes</t>
        </is>
      </c>
    </row>
    <row r="32">
      <c r="A32" s="0">
        <v>31</v>
      </c>
      <c r="B32" t="inlineStr" s="0">
        <is>
          <t xml:space="preserve">Male</t>
        </is>
      </c>
      <c r="C32" t="inlineStr" s="0">
        <is>
          <t xml:space="preserve">25-35</t>
        </is>
      </c>
      <c r="D32" t="inlineStr" s="0">
        <is>
          <t xml:space="preserve">Graduate</t>
        </is>
      </c>
      <c r="E32" t="inlineStr" s="0">
        <is>
          <t xml:space="preserve">Government Employee</t>
        </is>
      </c>
      <c r="F32" t="inlineStr" s="0">
        <is>
          <t xml:space="preserve">Below 25,000</t>
        </is>
      </c>
      <c r="G32" t="inlineStr" s="0">
        <is>
          <t xml:space="preserve">Yes</t>
        </is>
      </c>
      <c r="H32" t="inlineStr" s="0">
        <is>
          <t xml:space="preserve">Family Security/Protection</t>
        </is>
      </c>
      <c r="I32" t="inlineStr" s="0">
        <is>
          <t xml:space="preserve">LIC</t>
        </is>
      </c>
      <c r="J32" t="inlineStr" s="0">
        <is>
          <t xml:space="preserve">Pension/Retirement Plan</t>
        </is>
      </c>
      <c r="K32" t="inlineStr" s="0">
        <is>
          <t xml:space="preserve">Tax Benefits</t>
        </is>
      </c>
      <c r="L32" t="inlineStr" s="0">
        <is>
          <t xml:space="preserve">Insurance Agents</t>
        </is>
      </c>
      <c r="M32" t="inlineStr" s="0">
        <is>
          <t xml:space="preserve">Moderately aware</t>
        </is>
      </c>
      <c r="N32" t="inlineStr" s="0">
        <is>
          <t xml:space="preserve">Below 10,000</t>
        </is>
      </c>
      <c r="O32" t="inlineStr" s="0">
        <is>
          <t xml:space="preserve">Satisfied</t>
        </is>
      </c>
      <c r="P32" t="inlineStr" s="0">
        <is>
          <t xml:space="preserve">No</t>
        </is>
      </c>
    </row>
    <row r="33">
      <c r="A33" s="0">
        <v>32</v>
      </c>
      <c r="B33" t="inlineStr" s="0">
        <is>
          <t xml:space="preserve">Female</t>
        </is>
      </c>
      <c r="C33" t="inlineStr" s="0">
        <is>
          <t xml:space="preserve">36-45</t>
        </is>
      </c>
      <c r="D33" t="inlineStr" s="0">
        <is>
          <t xml:space="preserve">Graduate</t>
        </is>
      </c>
      <c r="E33" t="inlineStr" s="0">
        <is>
          <t xml:space="preserve">Private Employee</t>
        </is>
      </c>
      <c r="F33" t="inlineStr" s="0">
        <is>
          <t xml:space="preserve">Below 25,000</t>
        </is>
      </c>
      <c r="G33" t="inlineStr" s="0">
        <is>
          <t xml:space="preserve">Yes</t>
        </is>
      </c>
      <c r="H33" t="inlineStr" s="0">
        <is>
          <t xml:space="preserve">Child's Future</t>
        </is>
      </c>
      <c r="I33" t="inlineStr" s="0">
        <is>
          <t xml:space="preserve">Others (Private)</t>
        </is>
      </c>
      <c r="J33" t="inlineStr" s="0">
        <is>
          <t xml:space="preserve">Endowment Plan</t>
        </is>
      </c>
      <c r="K33" t="inlineStr" s="0">
        <is>
          <t xml:space="preserve">Returns/Bonus</t>
        </is>
      </c>
      <c r="L33" t="inlineStr" s="0">
        <is>
          <t xml:space="preserve">Friends &amp; Relatives</t>
        </is>
      </c>
      <c r="M33" t="inlineStr" s="0">
        <is>
          <t xml:space="preserve">Not aware</t>
        </is>
      </c>
      <c r="N33" t="inlineStr" s="0">
        <is>
          <t xml:space="preserve">25,001-50,000</t>
        </is>
      </c>
      <c r="O33" t="inlineStr" s="0">
        <is>
          <t xml:space="preserve">Satisfied</t>
        </is>
      </c>
      <c r="P33" t="inlineStr" s="0">
        <is>
          <t xml:space="preserve">Yes</t>
        </is>
      </c>
    </row>
    <row r="34">
      <c r="A34" s="0">
        <v>33</v>
      </c>
      <c r="B34" t="inlineStr" s="0">
        <is>
          <t xml:space="preserve">Male</t>
        </is>
      </c>
      <c r="C34" t="inlineStr" s="0">
        <is>
          <t xml:space="preserve">Below 25</t>
        </is>
      </c>
      <c r="D34" t="inlineStr" s="0">
        <is>
          <t xml:space="preserve">Graduate</t>
        </is>
      </c>
      <c r="E34" t="inlineStr" s="0">
        <is>
          <t xml:space="preserve">Business/Self-employed</t>
        </is>
      </c>
      <c r="F34" t="inlineStr" s="0">
        <is>
          <t xml:space="preserve">Below 25,000</t>
        </is>
      </c>
      <c r="G34" t="inlineStr" s="0">
        <is>
          <t xml:space="preserve">Yes</t>
        </is>
      </c>
      <c r="H34" t="inlineStr" s="0">
        <is>
          <t xml:space="preserve">Savings/Investment</t>
        </is>
      </c>
      <c r="I34" t="inlineStr" s="0">
        <is>
          <t xml:space="preserve">ICICI Prudential</t>
        </is>
      </c>
      <c r="J34" t="inlineStr" s="0">
        <is>
          <t xml:space="preserve">Money-Back Plan</t>
        </is>
      </c>
      <c r="K34" t="inlineStr" s="0">
        <is>
          <t xml:space="preserve">Returns/Bonus</t>
        </is>
      </c>
      <c r="L34" t="inlineStr" s="0">
        <is>
          <t xml:space="preserve">Insurance Agents</t>
        </is>
      </c>
      <c r="M34" t="inlineStr" s="0">
        <is>
          <t xml:space="preserve">Moderately aware</t>
        </is>
      </c>
      <c r="N34" t="inlineStr" s="0">
        <is>
          <t xml:space="preserve">10,000-25,000</t>
        </is>
      </c>
      <c r="O34" t="inlineStr" s="0">
        <is>
          <t xml:space="preserve">Neutral</t>
        </is>
      </c>
      <c r="P34" t="inlineStr" s="0">
        <is>
          <t xml:space="preserve">No</t>
        </is>
      </c>
    </row>
    <row r="35">
      <c r="A35" s="0">
        <v>34</v>
      </c>
      <c r="B35" t="inlineStr" s="0">
        <is>
          <t xml:space="preserve">Female</t>
        </is>
      </c>
      <c r="C35" t="inlineStr" s="0">
        <is>
          <t xml:space="preserve">25-35</t>
        </is>
      </c>
      <c r="D35" t="inlineStr" s="0">
        <is>
          <t xml:space="preserve">Graduate</t>
        </is>
      </c>
      <c r="E35" t="inlineStr" s="0">
        <is>
          <t xml:space="preserve">Student/Others</t>
        </is>
      </c>
      <c r="F35" t="inlineStr" s="0">
        <is>
          <t xml:space="preserve">Below 25,000</t>
        </is>
      </c>
      <c r="G35" t="inlineStr" s="0">
        <is>
          <t xml:space="preserve">No</t>
        </is>
      </c>
      <c r="H35" t="inlineStr" s="0">
        <is>
          <t xml:space="preserve">Retirement Planning</t>
        </is>
      </c>
      <c r="I35" t="inlineStr" s="0">
        <is>
          <t xml:space="preserve">LIC</t>
        </is>
      </c>
      <c r="J35" t="inlineStr" s="0">
        <is>
          <t xml:space="preserve">Endowment Plan</t>
        </is>
      </c>
      <c r="K35" t="inlineStr" s="0">
        <is>
          <t xml:space="preserve">Tax Benefits</t>
        </is>
      </c>
      <c r="L35" t="inlineStr" s="0">
        <is>
          <t xml:space="preserve">Friends &amp; Relatives</t>
        </is>
      </c>
      <c r="M35" t="inlineStr" s="0">
        <is>
          <t xml:space="preserve">Moderately aware</t>
        </is>
      </c>
      <c r="N35" t="inlineStr" s="0">
        <is>
          <t xml:space="preserve">10,000-25,000</t>
        </is>
      </c>
      <c r="O35" t="inlineStr" s="0">
        <is>
          <t xml:space="preserve">Neutral</t>
        </is>
      </c>
      <c r="P35" t="inlineStr" s="0">
        <is>
          <t xml:space="preserve">Yes</t>
        </is>
      </c>
    </row>
    <row r="36">
      <c r="A36" s="0">
        <v>35</v>
      </c>
      <c r="B36" t="inlineStr" s="0">
        <is>
          <t xml:space="preserve">Male</t>
        </is>
      </c>
      <c r="C36" t="inlineStr" s="0">
        <is>
          <t xml:space="preserve">25-35</t>
        </is>
      </c>
      <c r="D36" t="inlineStr" s="0">
        <is>
          <t xml:space="preserve">Post Graduate</t>
        </is>
      </c>
      <c r="E36" t="inlineStr" s="0">
        <is>
          <t xml:space="preserve">Business/Self-employed</t>
        </is>
      </c>
      <c r="F36" t="inlineStr" s="0">
        <is>
          <t xml:space="preserve">Below 25,000</t>
        </is>
      </c>
      <c r="G36" t="inlineStr" s="0">
        <is>
          <t xml:space="preserve">Yes</t>
        </is>
      </c>
      <c r="H36" t="inlineStr" s="0">
        <is>
          <t xml:space="preserve">Family Security/Protection</t>
        </is>
      </c>
      <c r="I36" t="inlineStr" s="0">
        <is>
          <t xml:space="preserve">LIC</t>
        </is>
      </c>
      <c r="J36" t="inlineStr" s="0">
        <is>
          <t xml:space="preserve">Endowment Plan</t>
        </is>
      </c>
      <c r="K36" t="inlineStr" s="0">
        <is>
          <t xml:space="preserve">Safety/Security</t>
        </is>
      </c>
      <c r="L36" t="inlineStr" s="0">
        <is>
          <t xml:space="preserve">Internet/Social Media</t>
        </is>
      </c>
      <c r="M36" t="inlineStr" s="0">
        <is>
          <t xml:space="preserve">Not aware</t>
        </is>
      </c>
      <c r="N36" t="inlineStr" s="0">
        <is>
          <t xml:space="preserve">Below 10,000</t>
        </is>
      </c>
      <c r="O36" t="inlineStr" s="0">
        <is>
          <t xml:space="preserve">Neutral</t>
        </is>
      </c>
      <c r="P36" t="inlineStr" s="0">
        <is>
          <t xml:space="preserve">Yes</t>
        </is>
      </c>
    </row>
    <row r="37">
      <c r="A37" s="0">
        <v>36</v>
      </c>
      <c r="B37" t="inlineStr" s="0">
        <is>
          <t xml:space="preserve">Female</t>
        </is>
      </c>
      <c r="C37" t="inlineStr" s="0">
        <is>
          <t xml:space="preserve">36-45</t>
        </is>
      </c>
      <c r="D37" t="inlineStr" s="0">
        <is>
          <t xml:space="preserve">Post Graduate</t>
        </is>
      </c>
      <c r="E37" t="inlineStr" s="0">
        <is>
          <t xml:space="preserve">Government Employee</t>
        </is>
      </c>
      <c r="F37" t="inlineStr" s="0">
        <is>
          <t xml:space="preserve">50,001-75,000</t>
        </is>
      </c>
      <c r="G37" t="inlineStr" s="0">
        <is>
          <t xml:space="preserve">Yes</t>
        </is>
      </c>
      <c r="H37" t="inlineStr" s="0">
        <is>
          <t xml:space="preserve">Retirement Planning</t>
        </is>
      </c>
      <c r="I37" t="inlineStr" s="0">
        <is>
          <t xml:space="preserve">LIC</t>
        </is>
      </c>
      <c r="J37" t="inlineStr" s="0">
        <is>
          <t xml:space="preserve">ULIP</t>
        </is>
      </c>
      <c r="K37" t="inlineStr" s="0">
        <is>
          <t xml:space="preserve">Liquidity</t>
        </is>
      </c>
      <c r="L37" t="inlineStr" s="0">
        <is>
          <t xml:space="preserve">Insurance Agents</t>
        </is>
      </c>
      <c r="M37" t="inlineStr" s="0">
        <is>
          <t xml:space="preserve">Not aware</t>
        </is>
      </c>
      <c r="N37" t="inlineStr" s="0">
        <is>
          <t xml:space="preserve">25,001-50,000</t>
        </is>
      </c>
      <c r="O37" t="inlineStr" s="0">
        <is>
          <t xml:space="preserve">Satisfied</t>
        </is>
      </c>
      <c r="P37" t="inlineStr" s="0">
        <is>
          <t xml:space="preserve">Yes</t>
        </is>
      </c>
    </row>
    <row r="38">
      <c r="A38" s="0">
        <v>37</v>
      </c>
      <c r="B38" t="inlineStr" s="0">
        <is>
          <t xml:space="preserve">Male</t>
        </is>
      </c>
      <c r="C38" t="inlineStr" s="0">
        <is>
          <t xml:space="preserve">25-35</t>
        </is>
      </c>
      <c r="D38" t="inlineStr" s="0">
        <is>
          <t xml:space="preserve">Post Graduate</t>
        </is>
      </c>
      <c r="E38" t="inlineStr" s="0">
        <is>
          <t xml:space="preserve">Government Employee</t>
        </is>
      </c>
      <c r="F38" t="inlineStr" s="0">
        <is>
          <t xml:space="preserve">50,001-75,000</t>
        </is>
      </c>
      <c r="G38" t="inlineStr" s="0">
        <is>
          <t xml:space="preserve">No</t>
        </is>
      </c>
      <c r="H38" t="inlineStr" s="0">
        <is>
          <t xml:space="preserve">Tax Benefits</t>
        </is>
      </c>
      <c r="I38" t="inlineStr" s="0">
        <is>
          <t xml:space="preserve">ICICI Prudential</t>
        </is>
      </c>
      <c r="J38" t="inlineStr" s="0">
        <is>
          <t xml:space="preserve">Endowment Plan</t>
        </is>
      </c>
      <c r="K38" t="inlineStr" s="0">
        <is>
          <t xml:space="preserve">Tax Benefits</t>
        </is>
      </c>
      <c r="L38" t="inlineStr" s="0">
        <is>
          <t xml:space="preserve">Friends &amp; Relatives</t>
        </is>
      </c>
      <c r="M38" t="inlineStr" s="0">
        <is>
          <t xml:space="preserve">Fully aware</t>
        </is>
      </c>
      <c r="N38" t="inlineStr" s="0">
        <is>
          <t xml:space="preserve">25,001-50,000</t>
        </is>
      </c>
      <c r="O38" t="inlineStr" s="0">
        <is>
          <t xml:space="preserve">Neutral</t>
        </is>
      </c>
      <c r="P38" t="inlineStr" s="0">
        <is>
          <t xml:space="preserve">No</t>
        </is>
      </c>
    </row>
    <row r="39">
      <c r="A39" s="0">
        <v>38</v>
      </c>
      <c r="B39" t="inlineStr" s="0">
        <is>
          <t xml:space="preserve">Female</t>
        </is>
      </c>
      <c r="C39" t="inlineStr" s="0">
        <is>
          <t xml:space="preserve">25-35</t>
        </is>
      </c>
      <c r="D39" t="inlineStr" s="0">
        <is>
          <t xml:space="preserve">Up to Higher Secondary</t>
        </is>
      </c>
      <c r="E39" t="inlineStr" s="0">
        <is>
          <t xml:space="preserve">Professional</t>
        </is>
      </c>
      <c r="F39" t="inlineStr" s="0">
        <is>
          <t xml:space="preserve">25,000-50,000</t>
        </is>
      </c>
      <c r="G39" t="inlineStr" s="0">
        <is>
          <t xml:space="preserve">Yes</t>
        </is>
      </c>
      <c r="H39" t="inlineStr" s="0">
        <is>
          <t xml:space="preserve">Family Security/Protection</t>
        </is>
      </c>
      <c r="I39" t="inlineStr" s="0">
        <is>
          <t xml:space="preserve">Others (Private)</t>
        </is>
      </c>
      <c r="J39" t="inlineStr" s="0">
        <is>
          <t xml:space="preserve">ULIP</t>
        </is>
      </c>
      <c r="K39" t="inlineStr" s="0">
        <is>
          <t xml:space="preserve">Tax Benefits</t>
        </is>
      </c>
      <c r="L39" t="inlineStr" s="0">
        <is>
          <t xml:space="preserve">Friends &amp; Relatives</t>
        </is>
      </c>
      <c r="M39" t="inlineStr" s="0">
        <is>
          <t xml:space="preserve">Fully aware</t>
        </is>
      </c>
      <c r="N39" t="inlineStr" s="0">
        <is>
          <t xml:space="preserve">Above 50,000</t>
        </is>
      </c>
      <c r="O39" t="inlineStr" s="0">
        <is>
          <t xml:space="preserve">Dissatisfied</t>
        </is>
      </c>
      <c r="P39" t="inlineStr" s="0">
        <is>
          <t xml:space="preserve">Maybe</t>
        </is>
      </c>
    </row>
    <row r="40">
      <c r="A40" s="0">
        <v>39</v>
      </c>
      <c r="B40" t="inlineStr" s="0">
        <is>
          <t xml:space="preserve">Female</t>
        </is>
      </c>
      <c r="C40" t="inlineStr" s="0">
        <is>
          <t xml:space="preserve">25-35</t>
        </is>
      </c>
      <c r="D40" t="inlineStr" s="0">
        <is>
          <t xml:space="preserve">Post Graduate</t>
        </is>
      </c>
      <c r="E40" t="inlineStr" s="0">
        <is>
          <t xml:space="preserve">Government Employee</t>
        </is>
      </c>
      <c r="F40" t="inlineStr" s="0">
        <is>
          <t xml:space="preserve">Below 25,000</t>
        </is>
      </c>
      <c r="G40" t="inlineStr" s="0">
        <is>
          <t xml:space="preserve">No</t>
        </is>
      </c>
      <c r="H40" t="inlineStr" s="0">
        <is>
          <t xml:space="preserve">Tax Benefits</t>
        </is>
      </c>
      <c r="I40" t="inlineStr" s="0">
        <is>
          <t xml:space="preserve">LIC</t>
        </is>
      </c>
      <c r="J40" t="inlineStr" s="0">
        <is>
          <t xml:space="preserve">Money-Back Plan</t>
        </is>
      </c>
      <c r="K40" t="inlineStr" s="0">
        <is>
          <t xml:space="preserve">Safety/Security</t>
        </is>
      </c>
      <c r="L40" t="inlineStr" s="0">
        <is>
          <t xml:space="preserve">Friends &amp; Relatives</t>
        </is>
      </c>
      <c r="M40" t="inlineStr" s="0">
        <is>
          <t xml:space="preserve">Fully aware</t>
        </is>
      </c>
      <c r="N40" t="inlineStr" s="0">
        <is>
          <t xml:space="preserve">10,000-25,000</t>
        </is>
      </c>
      <c r="O40" t="inlineStr" s="0">
        <is>
          <t xml:space="preserve">Neutral</t>
        </is>
      </c>
      <c r="P40" t="inlineStr" s="0">
        <is>
          <t xml:space="preserve">Maybe</t>
        </is>
      </c>
    </row>
    <row r="41">
      <c r="A41" s="0">
        <v>40</v>
      </c>
      <c r="B41" t="inlineStr" s="0">
        <is>
          <t xml:space="preserve">Female</t>
        </is>
      </c>
      <c r="C41" t="inlineStr" s="0">
        <is>
          <t xml:space="preserve">Below 25</t>
        </is>
      </c>
      <c r="D41" t="inlineStr" s="0">
        <is>
          <t xml:space="preserve">Post Graduate</t>
        </is>
      </c>
      <c r="E41" t="inlineStr" s="0">
        <is>
          <t xml:space="preserve">Private Employee</t>
        </is>
      </c>
      <c r="F41" t="inlineStr" s="0">
        <is>
          <t xml:space="preserve">Above 75,000</t>
        </is>
      </c>
      <c r="G41" t="inlineStr" s="0">
        <is>
          <t xml:space="preserve">Yes</t>
        </is>
      </c>
      <c r="H41" t="inlineStr" s="0">
        <is>
          <t xml:space="preserve">Tax Benefits</t>
        </is>
      </c>
      <c r="I41" t="inlineStr" s="0">
        <is>
          <t xml:space="preserve">LIC</t>
        </is>
      </c>
      <c r="J41" t="inlineStr" s="0">
        <is>
          <t xml:space="preserve">Term Insurance</t>
        </is>
      </c>
      <c r="K41" t="inlineStr" s="0">
        <is>
          <t xml:space="preserve">Safety/Security</t>
        </is>
      </c>
      <c r="L41" t="inlineStr" s="0">
        <is>
          <t xml:space="preserve">Friends &amp; Relatives</t>
        </is>
      </c>
      <c r="M41" t="inlineStr" s="0">
        <is>
          <t xml:space="preserve">Moderately aware</t>
        </is>
      </c>
      <c r="N41" t="inlineStr" s="0">
        <is>
          <t xml:space="preserve">25,001-50,000</t>
        </is>
      </c>
      <c r="O41" t="inlineStr" s="0">
        <is>
          <t xml:space="preserve">Dissatisfied</t>
        </is>
      </c>
      <c r="P41" t="inlineStr" s="0">
        <is>
          <t xml:space="preserve">Yes</t>
        </is>
      </c>
    </row>
    <row r="42">
      <c r="A42" s="0">
        <v>41</v>
      </c>
      <c r="B42" t="inlineStr" s="0">
        <is>
          <t xml:space="preserve">Male</t>
        </is>
      </c>
      <c r="C42" t="inlineStr" s="0">
        <is>
          <t xml:space="preserve">Above 55</t>
        </is>
      </c>
      <c r="D42" t="inlineStr" s="0">
        <is>
          <t xml:space="preserve">Post Graduate</t>
        </is>
      </c>
      <c r="E42" t="inlineStr" s="0">
        <is>
          <t xml:space="preserve">Professional</t>
        </is>
      </c>
      <c r="F42" t="inlineStr" s="0">
        <is>
          <t xml:space="preserve">25,000-50,000</t>
        </is>
      </c>
      <c r="G42" t="inlineStr" s="0">
        <is>
          <t xml:space="preserve">Yes</t>
        </is>
      </c>
      <c r="H42" t="inlineStr" s="0">
        <is>
          <t xml:space="preserve">Tax Benefits</t>
        </is>
      </c>
      <c r="I42" t="inlineStr" s="0">
        <is>
          <t xml:space="preserve">Others (Private)</t>
        </is>
      </c>
      <c r="J42" t="inlineStr" s="0">
        <is>
          <t xml:space="preserve">Money-Back Plan</t>
        </is>
      </c>
      <c r="K42" t="inlineStr" s="0">
        <is>
          <t xml:space="preserve">Tax Benefits</t>
        </is>
      </c>
      <c r="L42" t="inlineStr" s="0">
        <is>
          <t xml:space="preserve">Advertisements</t>
        </is>
      </c>
      <c r="M42" t="inlineStr" s="0">
        <is>
          <t xml:space="preserve">Fully aware</t>
        </is>
      </c>
      <c r="N42" t="inlineStr" s="0">
        <is>
          <t xml:space="preserve">10,000-25,000</t>
        </is>
      </c>
      <c r="O42" t="inlineStr" s="0">
        <is>
          <t xml:space="preserve">Satisfied</t>
        </is>
      </c>
      <c r="P42" t="inlineStr" s="0">
        <is>
          <t xml:space="preserve">Maybe</t>
        </is>
      </c>
    </row>
    <row r="43">
      <c r="A43" s="0">
        <v>42</v>
      </c>
      <c r="B43" t="inlineStr" s="0">
        <is>
          <t xml:space="preserve">Female</t>
        </is>
      </c>
      <c r="C43" t="inlineStr" s="0">
        <is>
          <t xml:space="preserve">25-35</t>
        </is>
      </c>
      <c r="D43" t="inlineStr" s="0">
        <is>
          <t xml:space="preserve">Graduate</t>
        </is>
      </c>
      <c r="E43" t="inlineStr" s="0">
        <is>
          <t xml:space="preserve">Private Employee</t>
        </is>
      </c>
      <c r="F43" t="inlineStr" s="0">
        <is>
          <t xml:space="preserve">50,001-75,000</t>
        </is>
      </c>
      <c r="G43" t="inlineStr" s="0">
        <is>
          <t xml:space="preserve">Yes</t>
        </is>
      </c>
      <c r="H43" t="inlineStr" s="0">
        <is>
          <t xml:space="preserve">Retirement Planning</t>
        </is>
      </c>
      <c r="I43" t="inlineStr" s="0">
        <is>
          <t xml:space="preserve">SBI Life</t>
        </is>
      </c>
      <c r="J43" t="inlineStr" s="0">
        <is>
          <t xml:space="preserve">Endowment Plan</t>
        </is>
      </c>
      <c r="K43" t="inlineStr" s="0">
        <is>
          <t xml:space="preserve">Safety/Security</t>
        </is>
      </c>
      <c r="L43" t="inlineStr" s="0">
        <is>
          <t xml:space="preserve">Bank/Bancassurance</t>
        </is>
      </c>
      <c r="M43" t="inlineStr" s="0">
        <is>
          <t xml:space="preserve">Not aware</t>
        </is>
      </c>
      <c r="N43" t="inlineStr" s="0">
        <is>
          <t xml:space="preserve">10,000-25,000</t>
        </is>
      </c>
      <c r="O43" t="inlineStr" s="0">
        <is>
          <t xml:space="preserve">Neutral</t>
        </is>
      </c>
      <c r="P43" t="inlineStr" s="0">
        <is>
          <t xml:space="preserve">Yes</t>
        </is>
      </c>
    </row>
    <row r="44">
      <c r="A44" s="0">
        <v>43</v>
      </c>
      <c r="B44" t="inlineStr" s="0">
        <is>
          <t xml:space="preserve">Male</t>
        </is>
      </c>
      <c r="C44" t="inlineStr" s="0">
        <is>
          <t xml:space="preserve">46-55</t>
        </is>
      </c>
      <c r="D44" t="inlineStr" s="0">
        <is>
          <t xml:space="preserve">Graduate</t>
        </is>
      </c>
      <c r="E44" t="inlineStr" s="0">
        <is>
          <t xml:space="preserve">Business/Self-employed</t>
        </is>
      </c>
      <c r="F44" t="inlineStr" s="0">
        <is>
          <t xml:space="preserve">50,001-75,000</t>
        </is>
      </c>
      <c r="G44" t="inlineStr" s="0">
        <is>
          <t xml:space="preserve">Yes</t>
        </is>
      </c>
      <c r="H44" t="inlineStr" s="0">
        <is>
          <t xml:space="preserve">Savings/Investment</t>
        </is>
      </c>
      <c r="I44" t="inlineStr" s="0">
        <is>
          <t xml:space="preserve">HDFC Life</t>
        </is>
      </c>
      <c r="J44" t="inlineStr" s="0">
        <is>
          <t xml:space="preserve">Money-Back Plan</t>
        </is>
      </c>
      <c r="K44" t="inlineStr" s="0">
        <is>
          <t xml:space="preserve">Returns/Bonus</t>
        </is>
      </c>
      <c r="L44" t="inlineStr" s="0">
        <is>
          <t xml:space="preserve">Internet/Social Media</t>
        </is>
      </c>
      <c r="M44" t="inlineStr" s="0">
        <is>
          <t xml:space="preserve">Moderately aware</t>
        </is>
      </c>
      <c r="N44" t="inlineStr" s="0">
        <is>
          <t xml:space="preserve">Below 10,000</t>
        </is>
      </c>
      <c r="O44" t="inlineStr" s="0">
        <is>
          <t xml:space="preserve">Neutral</t>
        </is>
      </c>
      <c r="P44" t="inlineStr" s="0">
        <is>
          <t xml:space="preserve">Yes</t>
        </is>
      </c>
    </row>
    <row r="45">
      <c r="A45" s="0">
        <v>44</v>
      </c>
      <c r="B45" t="inlineStr" s="0">
        <is>
          <t xml:space="preserve">Male</t>
        </is>
      </c>
      <c r="C45" t="inlineStr" s="0">
        <is>
          <t xml:space="preserve">46-55</t>
        </is>
      </c>
      <c r="D45" t="inlineStr" s="0">
        <is>
          <t xml:space="preserve">Graduate</t>
        </is>
      </c>
      <c r="E45" t="inlineStr" s="0">
        <is>
          <t xml:space="preserve">Government Employee</t>
        </is>
      </c>
      <c r="F45" t="inlineStr" s="0">
        <is>
          <t xml:space="preserve">Below 25,000</t>
        </is>
      </c>
      <c r="G45" t="inlineStr" s="0">
        <is>
          <t xml:space="preserve">Yes</t>
        </is>
      </c>
      <c r="H45" t="inlineStr" s="0">
        <is>
          <t xml:space="preserve">Savings/Investment</t>
        </is>
      </c>
      <c r="I45" t="inlineStr" s="0">
        <is>
          <t xml:space="preserve">Others (Private)</t>
        </is>
      </c>
      <c r="J45" t="inlineStr" s="0">
        <is>
          <t xml:space="preserve">Endowment Plan</t>
        </is>
      </c>
      <c r="K45" t="inlineStr" s="0">
        <is>
          <t xml:space="preserve">Safety/Security</t>
        </is>
      </c>
      <c r="L45" t="inlineStr" s="0">
        <is>
          <t xml:space="preserve">Insurance Agents</t>
        </is>
      </c>
      <c r="M45" t="inlineStr" s="0">
        <is>
          <t xml:space="preserve">Moderately aware</t>
        </is>
      </c>
      <c r="N45" t="inlineStr" s="0">
        <is>
          <t xml:space="preserve">Above 50,000</t>
        </is>
      </c>
      <c r="O45" t="inlineStr" s="0">
        <is>
          <t xml:space="preserve">Satisfied</t>
        </is>
      </c>
      <c r="P45" t="inlineStr" s="0">
        <is>
          <t xml:space="preserve">Yes</t>
        </is>
      </c>
    </row>
    <row r="46">
      <c r="A46" s="0">
        <v>45</v>
      </c>
      <c r="B46" t="inlineStr" s="0">
        <is>
          <t xml:space="preserve">Male</t>
        </is>
      </c>
      <c r="C46" t="inlineStr" s="0">
        <is>
          <t xml:space="preserve">Below 25</t>
        </is>
      </c>
      <c r="D46" t="inlineStr" s="0">
        <is>
          <t xml:space="preserve">Professional/Others</t>
        </is>
      </c>
      <c r="E46" t="inlineStr" s="0">
        <is>
          <t xml:space="preserve">Government Employee</t>
        </is>
      </c>
      <c r="F46" t="inlineStr" s="0">
        <is>
          <t xml:space="preserve">25,000-50,000</t>
        </is>
      </c>
      <c r="G46" t="inlineStr" s="0">
        <is>
          <t xml:space="preserve">Yes</t>
        </is>
      </c>
      <c r="H46" t="inlineStr" s="0">
        <is>
          <t xml:space="preserve">Family Security/Protection</t>
        </is>
      </c>
      <c r="I46" t="inlineStr" s="0">
        <is>
          <t xml:space="preserve">LIC</t>
        </is>
      </c>
      <c r="J46" t="inlineStr" s="0">
        <is>
          <t xml:space="preserve">Term Insurance</t>
        </is>
      </c>
      <c r="K46" t="inlineStr" s="0">
        <is>
          <t xml:space="preserve">Tax Benefits</t>
        </is>
      </c>
      <c r="L46" t="inlineStr" s="0">
        <is>
          <t xml:space="preserve">Advertisements</t>
        </is>
      </c>
      <c r="M46" t="inlineStr" s="0">
        <is>
          <t xml:space="preserve">Not aware</t>
        </is>
      </c>
      <c r="N46" t="inlineStr" s="0">
        <is>
          <t xml:space="preserve">10,000-25,000</t>
        </is>
      </c>
      <c r="O46" t="inlineStr" s="0">
        <is>
          <t xml:space="preserve">Highly satisfied</t>
        </is>
      </c>
      <c r="P46" t="inlineStr" s="0">
        <is>
          <t xml:space="preserve">Maybe</t>
        </is>
      </c>
    </row>
    <row r="47">
      <c r="A47" s="0">
        <v>46</v>
      </c>
      <c r="B47" t="inlineStr" s="0">
        <is>
          <t xml:space="preserve">Male</t>
        </is>
      </c>
      <c r="C47" t="inlineStr" s="0">
        <is>
          <t xml:space="preserve">36-45</t>
        </is>
      </c>
      <c r="D47" t="inlineStr" s="0">
        <is>
          <t xml:space="preserve">Up to Higher Secondary</t>
        </is>
      </c>
      <c r="E47" t="inlineStr" s="0">
        <is>
          <t xml:space="preserve">Private Employee</t>
        </is>
      </c>
      <c r="F47" t="inlineStr" s="0">
        <is>
          <t xml:space="preserve">25,000-50,000</t>
        </is>
      </c>
      <c r="G47" t="inlineStr" s="0">
        <is>
          <t xml:space="preserve">No</t>
        </is>
      </c>
      <c r="H47" t="inlineStr" s="0">
        <is>
          <t xml:space="preserve">Savings/Investment</t>
        </is>
      </c>
      <c r="I47" t="inlineStr" s="0">
        <is>
          <t xml:space="preserve">LIC</t>
        </is>
      </c>
      <c r="J47" t="inlineStr" s="0">
        <is>
          <t xml:space="preserve">ULIP</t>
        </is>
      </c>
      <c r="K47" t="inlineStr" s="0">
        <is>
          <t xml:space="preserve">Safety/Security</t>
        </is>
      </c>
      <c r="L47" t="inlineStr" s="0">
        <is>
          <t xml:space="preserve">Insurance Agents</t>
        </is>
      </c>
      <c r="M47" t="inlineStr" s="0">
        <is>
          <t xml:space="preserve">Not aware</t>
        </is>
      </c>
      <c r="N47" t="inlineStr" s="0">
        <is>
          <t xml:space="preserve">Below 10,000</t>
        </is>
      </c>
      <c r="O47" t="inlineStr" s="0">
        <is>
          <t xml:space="preserve">Neutral</t>
        </is>
      </c>
      <c r="P47" t="inlineStr" s="0">
        <is>
          <t xml:space="preserve">Yes</t>
        </is>
      </c>
    </row>
    <row r="48">
      <c r="A48" s="0">
        <v>47</v>
      </c>
      <c r="B48" t="inlineStr" s="0">
        <is>
          <t xml:space="preserve">Female</t>
        </is>
      </c>
      <c r="C48" t="inlineStr" s="0">
        <is>
          <t xml:space="preserve">Below 25</t>
        </is>
      </c>
      <c r="D48" t="inlineStr" s="0">
        <is>
          <t xml:space="preserve">Up to Higher Secondary</t>
        </is>
      </c>
      <c r="E48" t="inlineStr" s="0">
        <is>
          <t xml:space="preserve">Private Employee</t>
        </is>
      </c>
      <c r="F48" t="inlineStr" s="0">
        <is>
          <t xml:space="preserve">Above 75,000</t>
        </is>
      </c>
      <c r="G48" t="inlineStr" s="0">
        <is>
          <t xml:space="preserve">Yes</t>
        </is>
      </c>
      <c r="H48" t="inlineStr" s="0">
        <is>
          <t xml:space="preserve">Savings/Investment</t>
        </is>
      </c>
      <c r="I48" t="inlineStr" s="0">
        <is>
          <t xml:space="preserve">LIC</t>
        </is>
      </c>
      <c r="J48" t="inlineStr" s="0">
        <is>
          <t xml:space="preserve">Endowment Plan</t>
        </is>
      </c>
      <c r="K48" t="inlineStr" s="0">
        <is>
          <t xml:space="preserve">Returns/Bonus</t>
        </is>
      </c>
      <c r="L48" t="inlineStr" s="0">
        <is>
          <t xml:space="preserve">Advertisements</t>
        </is>
      </c>
      <c r="M48" t="inlineStr" s="0">
        <is>
          <t xml:space="preserve">Moderately aware</t>
        </is>
      </c>
      <c r="N48" t="inlineStr" s="0">
        <is>
          <t xml:space="preserve">Below 10,000</t>
        </is>
      </c>
      <c r="O48" t="inlineStr" s="0">
        <is>
          <t xml:space="preserve">Satisfied</t>
        </is>
      </c>
      <c r="P48" t="inlineStr" s="0">
        <is>
          <t xml:space="preserve">Yes</t>
        </is>
      </c>
    </row>
    <row r="49">
      <c r="A49" s="0">
        <v>48</v>
      </c>
      <c r="B49" t="inlineStr" s="0">
        <is>
          <t xml:space="preserve">Male</t>
        </is>
      </c>
      <c r="C49" t="inlineStr" s="0">
        <is>
          <t xml:space="preserve">36-45</t>
        </is>
      </c>
      <c r="D49" t="inlineStr" s="0">
        <is>
          <t xml:space="preserve">Post Graduate</t>
        </is>
      </c>
      <c r="E49" t="inlineStr" s="0">
        <is>
          <t xml:space="preserve">Business/Self-employed</t>
        </is>
      </c>
      <c r="F49" t="inlineStr" s="0">
        <is>
          <t xml:space="preserve">25,000-50,000</t>
        </is>
      </c>
      <c r="G49" t="inlineStr" s="0">
        <is>
          <t xml:space="preserve">Yes</t>
        </is>
      </c>
      <c r="H49" t="inlineStr" s="0">
        <is>
          <t xml:space="preserve">Retirement Planning</t>
        </is>
      </c>
      <c r="I49" t="inlineStr" s="0">
        <is>
          <t xml:space="preserve">ICICI Prudential</t>
        </is>
      </c>
      <c r="J49" t="inlineStr" s="0">
        <is>
          <t xml:space="preserve">ULIP</t>
        </is>
      </c>
      <c r="K49" t="inlineStr" s="0">
        <is>
          <t xml:space="preserve">Company Reputation</t>
        </is>
      </c>
      <c r="L49" t="inlineStr" s="0">
        <is>
          <t xml:space="preserve">Bank/Bancassurance</t>
        </is>
      </c>
      <c r="M49" t="inlineStr" s="0">
        <is>
          <t xml:space="preserve">Fully aware</t>
        </is>
      </c>
      <c r="N49" t="inlineStr" s="0">
        <is>
          <t xml:space="preserve">10,000-25,000</t>
        </is>
      </c>
      <c r="O49" t="inlineStr" s="0">
        <is>
          <t xml:space="preserve">Satisfied</t>
        </is>
      </c>
      <c r="P49" t="inlineStr" s="0">
        <is>
          <t xml:space="preserve">Maybe</t>
        </is>
      </c>
    </row>
    <row r="50">
      <c r="A50" s="0">
        <v>49</v>
      </c>
      <c r="B50" t="inlineStr" s="0">
        <is>
          <t xml:space="preserve">Male</t>
        </is>
      </c>
      <c r="C50" t="inlineStr" s="0">
        <is>
          <t xml:space="preserve">36-45</t>
        </is>
      </c>
      <c r="D50" t="inlineStr" s="0">
        <is>
          <t xml:space="preserve">Post Graduate</t>
        </is>
      </c>
      <c r="E50" t="inlineStr" s="0">
        <is>
          <t xml:space="preserve">Business/Self-employed</t>
        </is>
      </c>
      <c r="F50" t="inlineStr" s="0">
        <is>
          <t xml:space="preserve">25,000-50,000</t>
        </is>
      </c>
      <c r="G50" t="inlineStr" s="0">
        <is>
          <t xml:space="preserve">Yes</t>
        </is>
      </c>
      <c r="H50" t="inlineStr" s="0">
        <is>
          <t xml:space="preserve">Savings/Investment</t>
        </is>
      </c>
      <c r="I50" t="inlineStr" s="0">
        <is>
          <t xml:space="preserve">HDFC Life</t>
        </is>
      </c>
      <c r="J50" t="inlineStr" s="0">
        <is>
          <t xml:space="preserve">Endowment Plan</t>
        </is>
      </c>
      <c r="K50" t="inlineStr" s="0">
        <is>
          <t xml:space="preserve">Returns/Bonus</t>
        </is>
      </c>
      <c r="L50" t="inlineStr" s="0">
        <is>
          <t xml:space="preserve">Friends &amp; Relatives</t>
        </is>
      </c>
      <c r="M50" t="inlineStr" s="0">
        <is>
          <t xml:space="preserve">Fully aware</t>
        </is>
      </c>
      <c r="N50" t="inlineStr" s="0">
        <is>
          <t xml:space="preserve">10,000-25,000</t>
        </is>
      </c>
      <c r="O50" t="inlineStr" s="0">
        <is>
          <t xml:space="preserve">Satisfied</t>
        </is>
      </c>
      <c r="P50" t="inlineStr" s="0">
        <is>
          <t xml:space="preserve">Yes</t>
        </is>
      </c>
    </row>
    <row r="51">
      <c r="A51" s="0">
        <v>50</v>
      </c>
      <c r="B51" t="inlineStr" s="0">
        <is>
          <t xml:space="preserve">Female</t>
        </is>
      </c>
      <c r="C51" t="inlineStr" s="0">
        <is>
          <t xml:space="preserve">Below 25</t>
        </is>
      </c>
      <c r="D51" t="inlineStr" s="0">
        <is>
          <t xml:space="preserve">Professional/Others</t>
        </is>
      </c>
      <c r="E51" t="inlineStr" s="0">
        <is>
          <t xml:space="preserve">Government Employee</t>
        </is>
      </c>
      <c r="F51" t="inlineStr" s="0">
        <is>
          <t xml:space="preserve">25,000-50,000</t>
        </is>
      </c>
      <c r="G51" t="inlineStr" s="0">
        <is>
          <t xml:space="preserve">Yes</t>
        </is>
      </c>
      <c r="H51" t="inlineStr" s="0">
        <is>
          <t xml:space="preserve">Child's Future</t>
        </is>
      </c>
      <c r="I51" t="inlineStr" s="0">
        <is>
          <t xml:space="preserve">LIC</t>
        </is>
      </c>
      <c r="J51" t="inlineStr" s="0">
        <is>
          <t xml:space="preserve">Endowment Plan</t>
        </is>
      </c>
      <c r="K51" t="inlineStr" s="0">
        <is>
          <t xml:space="preserve">Company Reputation</t>
        </is>
      </c>
      <c r="L51" t="inlineStr" s="0">
        <is>
          <t xml:space="preserve">Insurance Agents</t>
        </is>
      </c>
      <c r="M51" t="inlineStr" s="0">
        <is>
          <t xml:space="preserve">Not aware</t>
        </is>
      </c>
      <c r="N51" t="inlineStr" s="0">
        <is>
          <t xml:space="preserve">Below 10,000</t>
        </is>
      </c>
      <c r="O51" t="inlineStr" s="0">
        <is>
          <t xml:space="preserve">Highly satisfied</t>
        </is>
      </c>
      <c r="P51" t="inlineStr" s="0">
        <is>
          <t xml:space="preserve">Yes</t>
        </is>
      </c>
    </row>
    <row r="52">
      <c r="A52" s="0">
        <v>51</v>
      </c>
      <c r="B52" t="inlineStr" s="0">
        <is>
          <t xml:space="preserve">Male</t>
        </is>
      </c>
      <c r="C52" t="inlineStr" s="0">
        <is>
          <t xml:space="preserve">25-35</t>
        </is>
      </c>
      <c r="D52" t="inlineStr" s="0">
        <is>
          <t xml:space="preserve">Graduate</t>
        </is>
      </c>
      <c r="E52" t="inlineStr" s="0">
        <is>
          <t xml:space="preserve">Private Employee</t>
        </is>
      </c>
      <c r="F52" t="inlineStr" s="0">
        <is>
          <t xml:space="preserve">50,001-75,000</t>
        </is>
      </c>
      <c r="G52" t="inlineStr" s="0">
        <is>
          <t xml:space="preserve">Yes</t>
        </is>
      </c>
      <c r="H52" t="inlineStr" s="0">
        <is>
          <t xml:space="preserve">Tax Benefits</t>
        </is>
      </c>
      <c r="I52" t="inlineStr" s="0">
        <is>
          <t xml:space="preserve">LIC</t>
        </is>
      </c>
      <c r="J52" t="inlineStr" s="0">
        <is>
          <t xml:space="preserve">Term Insurance</t>
        </is>
      </c>
      <c r="K52" t="inlineStr" s="0">
        <is>
          <t xml:space="preserve">Company Reputation</t>
        </is>
      </c>
      <c r="L52" t="inlineStr" s="0">
        <is>
          <t xml:space="preserve">Internet/Social Media</t>
        </is>
      </c>
      <c r="M52" t="inlineStr" s="0">
        <is>
          <t xml:space="preserve">Moderately aware</t>
        </is>
      </c>
      <c r="N52" t="inlineStr" s="0">
        <is>
          <t xml:space="preserve">25,001-50,000</t>
        </is>
      </c>
      <c r="O52" t="inlineStr" s="0">
        <is>
          <t xml:space="preserve">Neutral</t>
        </is>
      </c>
      <c r="P52" t="inlineStr" s="0">
        <is>
          <t xml:space="preserve">Yes</t>
        </is>
      </c>
    </row>
    <row r="53">
      <c r="A53" s="0">
        <v>52</v>
      </c>
      <c r="B53" t="inlineStr" s="0">
        <is>
          <t xml:space="preserve">Male</t>
        </is>
      </c>
      <c r="C53" t="inlineStr" s="0">
        <is>
          <t xml:space="preserve">25-35</t>
        </is>
      </c>
      <c r="D53" t="inlineStr" s="0">
        <is>
          <t xml:space="preserve">Post Graduate</t>
        </is>
      </c>
      <c r="E53" t="inlineStr" s="0">
        <is>
          <t xml:space="preserve">Student/Others</t>
        </is>
      </c>
      <c r="F53" t="inlineStr" s="0">
        <is>
          <t xml:space="preserve">50,001-75,000</t>
        </is>
      </c>
      <c r="G53" t="inlineStr" s="0">
        <is>
          <t xml:space="preserve">Yes</t>
        </is>
      </c>
      <c r="H53" t="inlineStr" s="0">
        <is>
          <t xml:space="preserve">Tax Benefits</t>
        </is>
      </c>
      <c r="I53" t="inlineStr" s="0">
        <is>
          <t xml:space="preserve">SBI Life</t>
        </is>
      </c>
      <c r="J53" t="inlineStr" s="0">
        <is>
          <t xml:space="preserve">Pension/Retirement Plan</t>
        </is>
      </c>
      <c r="K53" t="inlineStr" s="0">
        <is>
          <t xml:space="preserve">Safety/Security</t>
        </is>
      </c>
      <c r="L53" t="inlineStr" s="0">
        <is>
          <t xml:space="preserve">Friends &amp; Relatives</t>
        </is>
      </c>
      <c r="M53" t="inlineStr" s="0">
        <is>
          <t xml:space="preserve">Moderately aware</t>
        </is>
      </c>
      <c r="N53" t="inlineStr" s="0">
        <is>
          <t xml:space="preserve">Below 10,000</t>
        </is>
      </c>
      <c r="O53" t="inlineStr" s="0">
        <is>
          <t xml:space="preserve">Satisfied</t>
        </is>
      </c>
      <c r="P53" t="inlineStr" s="0">
        <is>
          <t xml:space="preserve">Yes</t>
        </is>
      </c>
    </row>
    <row r="54">
      <c r="A54" s="0">
        <v>53</v>
      </c>
      <c r="B54" t="inlineStr" s="0">
        <is>
          <t xml:space="preserve">Male</t>
        </is>
      </c>
      <c r="C54" t="inlineStr" s="0">
        <is>
          <t xml:space="preserve">25-35</t>
        </is>
      </c>
      <c r="D54" t="inlineStr" s="0">
        <is>
          <t xml:space="preserve">Graduate</t>
        </is>
      </c>
      <c r="E54" t="inlineStr" s="0">
        <is>
          <t xml:space="preserve">Professional</t>
        </is>
      </c>
      <c r="F54" t="inlineStr" s="0">
        <is>
          <t xml:space="preserve">Below 25,000</t>
        </is>
      </c>
      <c r="G54" t="inlineStr" s="0">
        <is>
          <t xml:space="preserve">No</t>
        </is>
      </c>
      <c r="H54" t="inlineStr" s="0">
        <is>
          <t xml:space="preserve">Savings/Investment</t>
        </is>
      </c>
      <c r="I54" t="inlineStr" s="0">
        <is>
          <t xml:space="preserve">LIC</t>
        </is>
      </c>
      <c r="J54" t="inlineStr" s="0">
        <is>
          <t xml:space="preserve">Endowment Plan</t>
        </is>
      </c>
      <c r="K54" t="inlineStr" s="0">
        <is>
          <t xml:space="preserve">Company Reputation</t>
        </is>
      </c>
      <c r="L54" t="inlineStr" s="0">
        <is>
          <t xml:space="preserve">Insurance Agents</t>
        </is>
      </c>
      <c r="M54" t="inlineStr" s="0">
        <is>
          <t xml:space="preserve">Fully aware</t>
        </is>
      </c>
      <c r="N54" t="inlineStr" s="0">
        <is>
          <t xml:space="preserve">10,000-25,000</t>
        </is>
      </c>
      <c r="O54" t="inlineStr" s="0">
        <is>
          <t xml:space="preserve">Highly satisfied</t>
        </is>
      </c>
      <c r="P54" t="inlineStr" s="0">
        <is>
          <t xml:space="preserve">Maybe</t>
        </is>
      </c>
    </row>
    <row r="55">
      <c r="A55" s="0">
        <v>54</v>
      </c>
      <c r="B55" t="inlineStr" s="0">
        <is>
          <t xml:space="preserve">Male</t>
        </is>
      </c>
      <c r="C55" t="inlineStr" s="0">
        <is>
          <t xml:space="preserve">36-45</t>
        </is>
      </c>
      <c r="D55" t="inlineStr" s="0">
        <is>
          <t xml:space="preserve">Post Graduate</t>
        </is>
      </c>
      <c r="E55" t="inlineStr" s="0">
        <is>
          <t xml:space="preserve">Business/Self-employed</t>
        </is>
      </c>
      <c r="F55" t="inlineStr" s="0">
        <is>
          <t xml:space="preserve">Below 25,000</t>
        </is>
      </c>
      <c r="G55" t="inlineStr" s="0">
        <is>
          <t xml:space="preserve">Yes</t>
        </is>
      </c>
      <c r="H55" t="inlineStr" s="0">
        <is>
          <t xml:space="preserve">Savings/Investment</t>
        </is>
      </c>
      <c r="I55" t="inlineStr" s="0">
        <is>
          <t xml:space="preserve">SBI Life</t>
        </is>
      </c>
      <c r="J55" t="inlineStr" s="0">
        <is>
          <t xml:space="preserve">Money-Back Plan</t>
        </is>
      </c>
      <c r="K55" t="inlineStr" s="0">
        <is>
          <t xml:space="preserve">Safety/Security</t>
        </is>
      </c>
      <c r="L55" t="inlineStr" s="0">
        <is>
          <t xml:space="preserve">Insurance Agents</t>
        </is>
      </c>
      <c r="M55" t="inlineStr" s="0">
        <is>
          <t xml:space="preserve">Not aware</t>
        </is>
      </c>
      <c r="N55" t="inlineStr" s="0">
        <is>
          <t xml:space="preserve">10,000-25,000</t>
        </is>
      </c>
      <c r="O55" t="inlineStr" s="0">
        <is>
          <t xml:space="preserve">Satisfied</t>
        </is>
      </c>
      <c r="P55" t="inlineStr" s="0">
        <is>
          <t xml:space="preserve">Yes</t>
        </is>
      </c>
    </row>
    <row r="56">
      <c r="A56" s="0">
        <v>55</v>
      </c>
      <c r="B56" t="inlineStr" s="0">
        <is>
          <t xml:space="preserve">Male</t>
        </is>
      </c>
      <c r="C56" t="inlineStr" s="0">
        <is>
          <t xml:space="preserve">Below 25</t>
        </is>
      </c>
      <c r="D56" t="inlineStr" s="0">
        <is>
          <t xml:space="preserve">Graduate</t>
        </is>
      </c>
      <c r="E56" t="inlineStr" s="0">
        <is>
          <t xml:space="preserve">Business/Self-employed</t>
        </is>
      </c>
      <c r="F56" t="inlineStr" s="0">
        <is>
          <t xml:space="preserve">50,001-75,000</t>
        </is>
      </c>
      <c r="G56" t="inlineStr" s="0">
        <is>
          <t xml:space="preserve">Yes</t>
        </is>
      </c>
      <c r="H56" t="inlineStr" s="0">
        <is>
          <t xml:space="preserve">Savings/Investment</t>
        </is>
      </c>
      <c r="I56" t="inlineStr" s="0">
        <is>
          <t xml:space="preserve">Others (Private)</t>
        </is>
      </c>
      <c r="J56" t="inlineStr" s="0">
        <is>
          <t xml:space="preserve">ULIP</t>
        </is>
      </c>
      <c r="K56" t="inlineStr" s="0">
        <is>
          <t xml:space="preserve">Company Reputation</t>
        </is>
      </c>
      <c r="L56" t="inlineStr" s="0">
        <is>
          <t xml:space="preserve">Insurance Agents</t>
        </is>
      </c>
      <c r="M56" t="inlineStr" s="0">
        <is>
          <t xml:space="preserve">Not aware</t>
        </is>
      </c>
      <c r="N56" t="inlineStr" s="0">
        <is>
          <t xml:space="preserve">Below 10,000</t>
        </is>
      </c>
      <c r="O56" t="inlineStr" s="0">
        <is>
          <t xml:space="preserve">Satisfied</t>
        </is>
      </c>
      <c r="P56" t="inlineStr" s="0">
        <is>
          <t xml:space="preserve">Yes</t>
        </is>
      </c>
    </row>
    <row r="57">
      <c r="A57" s="0">
        <v>56</v>
      </c>
      <c r="B57" t="inlineStr" s="0">
        <is>
          <t xml:space="preserve">Female</t>
        </is>
      </c>
      <c r="C57" t="inlineStr" s="0">
        <is>
          <t xml:space="preserve">46-55</t>
        </is>
      </c>
      <c r="D57" t="inlineStr" s="0">
        <is>
          <t xml:space="preserve">Up to Higher Secondary</t>
        </is>
      </c>
      <c r="E57" t="inlineStr" s="0">
        <is>
          <t xml:space="preserve">Private Employee</t>
        </is>
      </c>
      <c r="F57" t="inlineStr" s="0">
        <is>
          <t xml:space="preserve">Above 75,000</t>
        </is>
      </c>
      <c r="G57" t="inlineStr" s="0">
        <is>
          <t xml:space="preserve">Yes</t>
        </is>
      </c>
      <c r="H57" t="inlineStr" s="0">
        <is>
          <t xml:space="preserve">Retirement Planning</t>
        </is>
      </c>
      <c r="I57" t="inlineStr" s="0">
        <is>
          <t xml:space="preserve">HDFC Life</t>
        </is>
      </c>
      <c r="J57" t="inlineStr" s="0">
        <is>
          <t xml:space="preserve">Endowment Plan</t>
        </is>
      </c>
      <c r="K57" t="inlineStr" s="0">
        <is>
          <t xml:space="preserve">Returns/Bonus</t>
        </is>
      </c>
      <c r="L57" t="inlineStr" s="0">
        <is>
          <t xml:space="preserve">Friends &amp; Relatives</t>
        </is>
      </c>
      <c r="M57" t="inlineStr" s="0">
        <is>
          <t xml:space="preserve">Fully aware</t>
        </is>
      </c>
      <c r="N57" t="inlineStr" s="0">
        <is>
          <t xml:space="preserve">10,000-25,000</t>
        </is>
      </c>
      <c r="O57" t="inlineStr" s="0">
        <is>
          <t xml:space="preserve">Satisfied</t>
        </is>
      </c>
      <c r="P57" t="inlineStr" s="0">
        <is>
          <t xml:space="preserve">Yes</t>
        </is>
      </c>
    </row>
    <row r="58">
      <c r="A58" s="0">
        <v>57</v>
      </c>
      <c r="B58" t="inlineStr" s="0">
        <is>
          <t xml:space="preserve">Female</t>
        </is>
      </c>
      <c r="C58" t="inlineStr" s="0">
        <is>
          <t xml:space="preserve">36-45</t>
        </is>
      </c>
      <c r="D58" t="inlineStr" s="0">
        <is>
          <t xml:space="preserve">Graduate</t>
        </is>
      </c>
      <c r="E58" t="inlineStr" s="0">
        <is>
          <t xml:space="preserve">Student/Others</t>
        </is>
      </c>
      <c r="F58" t="inlineStr" s="0">
        <is>
          <t xml:space="preserve">25,000-50,000</t>
        </is>
      </c>
      <c r="G58" t="inlineStr" s="0">
        <is>
          <t xml:space="preserve">Yes</t>
        </is>
      </c>
      <c r="H58" t="inlineStr" s="0">
        <is>
          <t xml:space="preserve">Family Security/Protection</t>
        </is>
      </c>
      <c r="I58" t="inlineStr" s="0">
        <is>
          <t xml:space="preserve">LIC</t>
        </is>
      </c>
      <c r="J58" t="inlineStr" s="0">
        <is>
          <t xml:space="preserve">Money-Back Plan</t>
        </is>
      </c>
      <c r="K58" t="inlineStr" s="0">
        <is>
          <t xml:space="preserve">Safety/Security</t>
        </is>
      </c>
      <c r="L58" t="inlineStr" s="0">
        <is>
          <t xml:space="preserve">Advertisements</t>
        </is>
      </c>
      <c r="M58" t="inlineStr" s="0">
        <is>
          <t xml:space="preserve">Fully aware</t>
        </is>
      </c>
      <c r="N58" t="inlineStr" s="0">
        <is>
          <t xml:space="preserve">Below 10,000</t>
        </is>
      </c>
      <c r="O58" t="inlineStr" s="0">
        <is>
          <t xml:space="preserve">Satisfied</t>
        </is>
      </c>
      <c r="P58" t="inlineStr" s="0">
        <is>
          <t xml:space="preserve">Maybe</t>
        </is>
      </c>
    </row>
    <row r="59">
      <c r="A59" s="0">
        <v>58</v>
      </c>
      <c r="B59" t="inlineStr" s="0">
        <is>
          <t xml:space="preserve">Male</t>
        </is>
      </c>
      <c r="C59" t="inlineStr" s="0">
        <is>
          <t xml:space="preserve">25-35</t>
        </is>
      </c>
      <c r="D59" t="inlineStr" s="0">
        <is>
          <t xml:space="preserve">Graduate</t>
        </is>
      </c>
      <c r="E59" t="inlineStr" s="0">
        <is>
          <t xml:space="preserve">Business/Self-employed</t>
        </is>
      </c>
      <c r="F59" t="inlineStr" s="0">
        <is>
          <t xml:space="preserve">50,001-75,000</t>
        </is>
      </c>
      <c r="G59" t="inlineStr" s="0">
        <is>
          <t xml:space="preserve">Yes</t>
        </is>
      </c>
      <c r="H59" t="inlineStr" s="0">
        <is>
          <t xml:space="preserve">Family Security/Protection</t>
        </is>
      </c>
      <c r="I59" t="inlineStr" s="0">
        <is>
          <t xml:space="preserve">LIC</t>
        </is>
      </c>
      <c r="J59" t="inlineStr" s="0">
        <is>
          <t xml:space="preserve">Term Insurance</t>
        </is>
      </c>
      <c r="K59" t="inlineStr" s="0">
        <is>
          <t xml:space="preserve">Company Reputation</t>
        </is>
      </c>
      <c r="L59" t="inlineStr" s="0">
        <is>
          <t xml:space="preserve">Internet/Social Media</t>
        </is>
      </c>
      <c r="M59" t="inlineStr" s="0">
        <is>
          <t xml:space="preserve">Moderately aware</t>
        </is>
      </c>
      <c r="N59" t="inlineStr" s="0">
        <is>
          <t xml:space="preserve">10,000-25,000</t>
        </is>
      </c>
      <c r="O59" t="inlineStr" s="0">
        <is>
          <t xml:space="preserve">Satisfied</t>
        </is>
      </c>
      <c r="P59" t="inlineStr" s="0">
        <is>
          <t xml:space="preserve">Yes</t>
        </is>
      </c>
    </row>
    <row r="60">
      <c r="A60" s="0">
        <v>59</v>
      </c>
      <c r="B60" t="inlineStr" s="0">
        <is>
          <t xml:space="preserve">Male</t>
        </is>
      </c>
      <c r="C60" t="inlineStr" s="0">
        <is>
          <t xml:space="preserve">36-45</t>
        </is>
      </c>
      <c r="D60" t="inlineStr" s="0">
        <is>
          <t xml:space="preserve">Graduate</t>
        </is>
      </c>
      <c r="E60" t="inlineStr" s="0">
        <is>
          <t xml:space="preserve">Private Employee</t>
        </is>
      </c>
      <c r="F60" t="inlineStr" s="0">
        <is>
          <t xml:space="preserve">25,000-50,000</t>
        </is>
      </c>
      <c r="G60" t="inlineStr" s="0">
        <is>
          <t xml:space="preserve">No</t>
        </is>
      </c>
      <c r="H60" t="inlineStr" s="0">
        <is>
          <t xml:space="preserve">Family Security/Protection</t>
        </is>
      </c>
      <c r="I60" t="inlineStr" s="0">
        <is>
          <t xml:space="preserve">LIC</t>
        </is>
      </c>
      <c r="J60" t="inlineStr" s="0">
        <is>
          <t xml:space="preserve">Money-Back Plan</t>
        </is>
      </c>
      <c r="K60" t="inlineStr" s="0">
        <is>
          <t xml:space="preserve">Safety/Security</t>
        </is>
      </c>
      <c r="L60" t="inlineStr" s="0">
        <is>
          <t xml:space="preserve">Internet/Social Media</t>
        </is>
      </c>
      <c r="M60" t="inlineStr" s="0">
        <is>
          <t xml:space="preserve">Fully aware</t>
        </is>
      </c>
      <c r="N60" t="inlineStr" s="0">
        <is>
          <t xml:space="preserve">25,001-50,000</t>
        </is>
      </c>
      <c r="O60" t="inlineStr" s="0">
        <is>
          <t xml:space="preserve">Neutral</t>
        </is>
      </c>
      <c r="P60" t="inlineStr" s="0">
        <is>
          <t xml:space="preserve">Maybe</t>
        </is>
      </c>
    </row>
    <row r="61">
      <c r="A61" s="0">
        <v>60</v>
      </c>
      <c r="B61" t="inlineStr" s="0">
        <is>
          <t xml:space="preserve">Male</t>
        </is>
      </c>
      <c r="C61" t="inlineStr" s="0">
        <is>
          <t xml:space="preserve">36-45</t>
        </is>
      </c>
      <c r="D61" t="inlineStr" s="0">
        <is>
          <t xml:space="preserve">Graduate</t>
        </is>
      </c>
      <c r="E61" t="inlineStr" s="0">
        <is>
          <t xml:space="preserve">Government Employee</t>
        </is>
      </c>
      <c r="F61" t="inlineStr" s="0">
        <is>
          <t xml:space="preserve">25,000-50,000</t>
        </is>
      </c>
      <c r="G61" t="inlineStr" s="0">
        <is>
          <t xml:space="preserve">Yes</t>
        </is>
      </c>
      <c r="H61" t="inlineStr" s="0">
        <is>
          <t xml:space="preserve">Family Security/Protection</t>
        </is>
      </c>
      <c r="I61" t="inlineStr" s="0">
        <is>
          <t xml:space="preserve">ICICI Prudential</t>
        </is>
      </c>
      <c r="J61" t="inlineStr" s="0">
        <is>
          <t xml:space="preserve">Term Insurance</t>
        </is>
      </c>
      <c r="K61" t="inlineStr" s="0">
        <is>
          <t xml:space="preserve">Liquidity</t>
        </is>
      </c>
      <c r="L61" t="inlineStr" s="0">
        <is>
          <t xml:space="preserve">Advertisements</t>
        </is>
      </c>
      <c r="M61" t="inlineStr" s="0">
        <is>
          <t xml:space="preserve">Moderately aware</t>
        </is>
      </c>
      <c r="N61" t="inlineStr" s="0">
        <is>
          <t xml:space="preserve">25,001-50,000</t>
        </is>
      </c>
      <c r="O61" t="inlineStr" s="0">
        <is>
          <t xml:space="preserve">Dissatisfied</t>
        </is>
      </c>
      <c r="P61" t="inlineStr" s="0">
        <is>
          <t xml:space="preserve">Yes</t>
        </is>
      </c>
    </row>
    <row r="62">
      <c r="A62" s="0">
        <v>61</v>
      </c>
      <c r="B62" t="inlineStr" s="0">
        <is>
          <t xml:space="preserve">Male</t>
        </is>
      </c>
      <c r="C62" t="inlineStr" s="0">
        <is>
          <t xml:space="preserve">Below 25</t>
        </is>
      </c>
      <c r="D62" t="inlineStr" s="0">
        <is>
          <t xml:space="preserve">Post Graduate</t>
        </is>
      </c>
      <c r="E62" t="inlineStr" s="0">
        <is>
          <t xml:space="preserve">Government Employee</t>
        </is>
      </c>
      <c r="F62" t="inlineStr" s="0">
        <is>
          <t xml:space="preserve">Above 75,000</t>
        </is>
      </c>
      <c r="G62" t="inlineStr" s="0">
        <is>
          <t xml:space="preserve">Yes</t>
        </is>
      </c>
      <c r="H62" t="inlineStr" s="0">
        <is>
          <t xml:space="preserve">Savings/Investment</t>
        </is>
      </c>
      <c r="I62" t="inlineStr" s="0">
        <is>
          <t xml:space="preserve">LIC</t>
        </is>
      </c>
      <c r="J62" t="inlineStr" s="0">
        <is>
          <t xml:space="preserve">Money-Back Plan</t>
        </is>
      </c>
      <c r="K62" t="inlineStr" s="0">
        <is>
          <t xml:space="preserve">Safety/Security</t>
        </is>
      </c>
      <c r="L62" t="inlineStr" s="0">
        <is>
          <t xml:space="preserve">Insurance Agents</t>
        </is>
      </c>
      <c r="M62" t="inlineStr" s="0">
        <is>
          <t xml:space="preserve">Fully aware</t>
        </is>
      </c>
      <c r="N62" t="inlineStr" s="0">
        <is>
          <t xml:space="preserve">Above 50,000</t>
        </is>
      </c>
      <c r="O62" t="inlineStr" s="0">
        <is>
          <t xml:space="preserve">Neutral</t>
        </is>
      </c>
      <c r="P62" t="inlineStr" s="0">
        <is>
          <t xml:space="preserve">Yes</t>
        </is>
      </c>
    </row>
    <row r="63">
      <c r="A63" s="0">
        <v>62</v>
      </c>
      <c r="B63" t="inlineStr" s="0">
        <is>
          <t xml:space="preserve">Male</t>
        </is>
      </c>
      <c r="C63" t="inlineStr" s="0">
        <is>
          <t xml:space="preserve">46-55</t>
        </is>
      </c>
      <c r="D63" t="inlineStr" s="0">
        <is>
          <t xml:space="preserve">Post Graduate</t>
        </is>
      </c>
      <c r="E63" t="inlineStr" s="0">
        <is>
          <t xml:space="preserve">Business/Self-employed</t>
        </is>
      </c>
      <c r="F63" t="inlineStr" s="0">
        <is>
          <t xml:space="preserve">25,000-50,000</t>
        </is>
      </c>
      <c r="G63" t="inlineStr" s="0">
        <is>
          <t xml:space="preserve">Yes</t>
        </is>
      </c>
      <c r="H63" t="inlineStr" s="0">
        <is>
          <t xml:space="preserve">Tax Benefits</t>
        </is>
      </c>
      <c r="I63" t="inlineStr" s="0">
        <is>
          <t xml:space="preserve">LIC</t>
        </is>
      </c>
      <c r="J63" t="inlineStr" s="0">
        <is>
          <t xml:space="preserve">ULIP</t>
        </is>
      </c>
      <c r="K63" t="inlineStr" s="0">
        <is>
          <t xml:space="preserve">Company Reputation</t>
        </is>
      </c>
      <c r="L63" t="inlineStr" s="0">
        <is>
          <t xml:space="preserve">Internet/Social Media</t>
        </is>
      </c>
      <c r="M63" t="inlineStr" s="0">
        <is>
          <t xml:space="preserve">Not aware</t>
        </is>
      </c>
      <c r="N63" t="inlineStr" s="0">
        <is>
          <t xml:space="preserve">Below 10,000</t>
        </is>
      </c>
      <c r="O63" t="inlineStr" s="0">
        <is>
          <t xml:space="preserve">Neutral</t>
        </is>
      </c>
      <c r="P63" t="inlineStr" s="0">
        <is>
          <t xml:space="preserve">Yes</t>
        </is>
      </c>
    </row>
    <row r="64">
      <c r="A64" s="0">
        <v>63</v>
      </c>
      <c r="B64" t="inlineStr" s="0">
        <is>
          <t xml:space="preserve">Male</t>
        </is>
      </c>
      <c r="C64" t="inlineStr" s="0">
        <is>
          <t xml:space="preserve">36-45</t>
        </is>
      </c>
      <c r="D64" t="inlineStr" s="0">
        <is>
          <t xml:space="preserve">Up to Higher Secondary</t>
        </is>
      </c>
      <c r="E64" t="inlineStr" s="0">
        <is>
          <t xml:space="preserve">Private Employee</t>
        </is>
      </c>
      <c r="F64" t="inlineStr" s="0">
        <is>
          <t xml:space="preserve">25,000-50,000</t>
        </is>
      </c>
      <c r="G64" t="inlineStr" s="0">
        <is>
          <t xml:space="preserve">Yes</t>
        </is>
      </c>
      <c r="H64" t="inlineStr" s="0">
        <is>
          <t xml:space="preserve">Retirement Planning</t>
        </is>
      </c>
      <c r="I64" t="inlineStr" s="0">
        <is>
          <t xml:space="preserve">LIC</t>
        </is>
      </c>
      <c r="J64" t="inlineStr" s="0">
        <is>
          <t xml:space="preserve">Money-Back Plan</t>
        </is>
      </c>
      <c r="K64" t="inlineStr" s="0">
        <is>
          <t xml:space="preserve">Returns/Bonus</t>
        </is>
      </c>
      <c r="L64" t="inlineStr" s="0">
        <is>
          <t xml:space="preserve">Friends &amp; Relatives</t>
        </is>
      </c>
      <c r="M64" t="inlineStr" s="0">
        <is>
          <t xml:space="preserve">Not aware</t>
        </is>
      </c>
      <c r="N64" t="inlineStr" s="0">
        <is>
          <t xml:space="preserve">10,000-25,000</t>
        </is>
      </c>
      <c r="O64" t="inlineStr" s="0">
        <is>
          <t xml:space="preserve">Highly satisfied</t>
        </is>
      </c>
      <c r="P64" t="inlineStr" s="0">
        <is>
          <t xml:space="preserve">No</t>
        </is>
      </c>
    </row>
    <row r="65">
      <c r="A65" s="0">
        <v>64</v>
      </c>
      <c r="B65" t="inlineStr" s="0">
        <is>
          <t xml:space="preserve">Male</t>
        </is>
      </c>
      <c r="C65" t="inlineStr" s="0">
        <is>
          <t xml:space="preserve">Below 25</t>
        </is>
      </c>
      <c r="D65" t="inlineStr" s="0">
        <is>
          <t xml:space="preserve">Graduate</t>
        </is>
      </c>
      <c r="E65" t="inlineStr" s="0">
        <is>
          <t xml:space="preserve">Business/Self-employed</t>
        </is>
      </c>
      <c r="F65" t="inlineStr" s="0">
        <is>
          <t xml:space="preserve">25,000-50,000</t>
        </is>
      </c>
      <c r="G65" t="inlineStr" s="0">
        <is>
          <t xml:space="preserve">No</t>
        </is>
      </c>
      <c r="H65" t="inlineStr" s="0">
        <is>
          <t xml:space="preserve">Family Security/Protection</t>
        </is>
      </c>
      <c r="I65" t="inlineStr" s="0">
        <is>
          <t xml:space="preserve">LIC</t>
        </is>
      </c>
      <c r="J65" t="inlineStr" s="0">
        <is>
          <t xml:space="preserve">Endowment Plan</t>
        </is>
      </c>
      <c r="K65" t="inlineStr" s="0">
        <is>
          <t xml:space="preserve">Liquidity</t>
        </is>
      </c>
      <c r="L65" t="inlineStr" s="0">
        <is>
          <t xml:space="preserve">Insurance Agents</t>
        </is>
      </c>
      <c r="M65" t="inlineStr" s="0">
        <is>
          <t xml:space="preserve">Moderately aware</t>
        </is>
      </c>
      <c r="N65" t="inlineStr" s="0">
        <is>
          <t xml:space="preserve">Above 50,000</t>
        </is>
      </c>
      <c r="O65" t="inlineStr" s="0">
        <is>
          <t xml:space="preserve">Highly satisfied</t>
        </is>
      </c>
      <c r="P65" t="inlineStr" s="0">
        <is>
          <t xml:space="preserve">Yes</t>
        </is>
      </c>
    </row>
    <row r="66">
      <c r="A66" s="0">
        <v>65</v>
      </c>
      <c r="B66" t="inlineStr" s="0">
        <is>
          <t xml:space="preserve">Male</t>
        </is>
      </c>
      <c r="C66" t="inlineStr" s="0">
        <is>
          <t xml:space="preserve">Below 25</t>
        </is>
      </c>
      <c r="D66" t="inlineStr" s="0">
        <is>
          <t xml:space="preserve">Up to Higher Secondary</t>
        </is>
      </c>
      <c r="E66" t="inlineStr" s="0">
        <is>
          <t xml:space="preserve">Private Employee</t>
        </is>
      </c>
      <c r="F66" t="inlineStr" s="0">
        <is>
          <t xml:space="preserve">25,000-50,000</t>
        </is>
      </c>
      <c r="G66" t="inlineStr" s="0">
        <is>
          <t xml:space="preserve">Yes</t>
        </is>
      </c>
      <c r="H66" t="inlineStr" s="0">
        <is>
          <t xml:space="preserve">Child's Future</t>
        </is>
      </c>
      <c r="I66" t="inlineStr" s="0">
        <is>
          <t xml:space="preserve">SBI Life</t>
        </is>
      </c>
      <c r="J66" t="inlineStr" s="0">
        <is>
          <t xml:space="preserve">Money-Back Plan</t>
        </is>
      </c>
      <c r="K66" t="inlineStr" s="0">
        <is>
          <t xml:space="preserve">Safety/Security</t>
        </is>
      </c>
      <c r="L66" t="inlineStr" s="0">
        <is>
          <t xml:space="preserve">Insurance Agents</t>
        </is>
      </c>
      <c r="M66" t="inlineStr" s="0">
        <is>
          <t xml:space="preserve">Moderately aware</t>
        </is>
      </c>
      <c r="N66" t="inlineStr" s="0">
        <is>
          <t xml:space="preserve">10,000-25,000</t>
        </is>
      </c>
      <c r="O66" t="inlineStr" s="0">
        <is>
          <t xml:space="preserve">Highly satisfied</t>
        </is>
      </c>
      <c r="P66" t="inlineStr" s="0">
        <is>
          <t xml:space="preserve">Yes</t>
        </is>
      </c>
    </row>
    <row r="67">
      <c r="A67" s="0">
        <v>66</v>
      </c>
      <c r="B67" t="inlineStr" s="0">
        <is>
          <t xml:space="preserve">Male</t>
        </is>
      </c>
      <c r="C67" t="inlineStr" s="0">
        <is>
          <t xml:space="preserve">25-35</t>
        </is>
      </c>
      <c r="D67" t="inlineStr" s="0">
        <is>
          <t xml:space="preserve">Post Graduate</t>
        </is>
      </c>
      <c r="E67" t="inlineStr" s="0">
        <is>
          <t xml:space="preserve">Student/Others</t>
        </is>
      </c>
      <c r="F67" t="inlineStr" s="0">
        <is>
          <t xml:space="preserve">25,000-50,000</t>
        </is>
      </c>
      <c r="G67" t="inlineStr" s="0">
        <is>
          <t xml:space="preserve">Yes</t>
        </is>
      </c>
      <c r="H67" t="inlineStr" s="0">
        <is>
          <t xml:space="preserve">Retirement Planning</t>
        </is>
      </c>
      <c r="I67" t="inlineStr" s="0">
        <is>
          <t xml:space="preserve">LIC</t>
        </is>
      </c>
      <c r="J67" t="inlineStr" s="0">
        <is>
          <t xml:space="preserve">Endowment Plan</t>
        </is>
      </c>
      <c r="K67" t="inlineStr" s="0">
        <is>
          <t xml:space="preserve">Safety/Security</t>
        </is>
      </c>
      <c r="L67" t="inlineStr" s="0">
        <is>
          <t xml:space="preserve">Advertisements</t>
        </is>
      </c>
      <c r="M67" t="inlineStr" s="0">
        <is>
          <t xml:space="preserve">Moderately aware</t>
        </is>
      </c>
      <c r="N67" t="inlineStr" s="0">
        <is>
          <t xml:space="preserve">Above 50,000</t>
        </is>
      </c>
      <c r="O67" t="inlineStr" s="0">
        <is>
          <t xml:space="preserve">Highly satisfied</t>
        </is>
      </c>
      <c r="P67" t="inlineStr" s="0">
        <is>
          <t xml:space="preserve">Yes</t>
        </is>
      </c>
    </row>
    <row r="68">
      <c r="A68" s="0">
        <v>67</v>
      </c>
      <c r="B68" t="inlineStr" s="0">
        <is>
          <t xml:space="preserve">Female</t>
        </is>
      </c>
      <c r="C68" t="inlineStr" s="0">
        <is>
          <t xml:space="preserve">Below 25</t>
        </is>
      </c>
      <c r="D68" t="inlineStr" s="0">
        <is>
          <t xml:space="preserve">Graduate</t>
        </is>
      </c>
      <c r="E68" t="inlineStr" s="0">
        <is>
          <t xml:space="preserve">Government Employee</t>
        </is>
      </c>
      <c r="F68" t="inlineStr" s="0">
        <is>
          <t xml:space="preserve">25,000-50,000</t>
        </is>
      </c>
      <c r="G68" t="inlineStr" s="0">
        <is>
          <t xml:space="preserve">Yes</t>
        </is>
      </c>
      <c r="H68" t="inlineStr" s="0">
        <is>
          <t xml:space="preserve">Family Security/Protection</t>
        </is>
      </c>
      <c r="I68" t="inlineStr" s="0">
        <is>
          <t xml:space="preserve">LIC</t>
        </is>
      </c>
      <c r="J68" t="inlineStr" s="0">
        <is>
          <t xml:space="preserve">Pension/Retirement Plan</t>
        </is>
      </c>
      <c r="K68" t="inlineStr" s="0">
        <is>
          <t xml:space="preserve">Returns/Bonus</t>
        </is>
      </c>
      <c r="L68" t="inlineStr" s="0">
        <is>
          <t xml:space="preserve">Insurance Agents</t>
        </is>
      </c>
      <c r="M68" t="inlineStr" s="0">
        <is>
          <t xml:space="preserve">Not aware</t>
        </is>
      </c>
      <c r="N68" t="inlineStr" s="0">
        <is>
          <t xml:space="preserve">10,000-25,000</t>
        </is>
      </c>
      <c r="O68" t="inlineStr" s="0">
        <is>
          <t xml:space="preserve">Satisfied</t>
        </is>
      </c>
      <c r="P68" t="inlineStr" s="0">
        <is>
          <t xml:space="preserve">Yes</t>
        </is>
      </c>
    </row>
    <row r="69">
      <c r="A69" s="0">
        <v>68</v>
      </c>
      <c r="B69" t="inlineStr" s="0">
        <is>
          <t xml:space="preserve">Female</t>
        </is>
      </c>
      <c r="C69" t="inlineStr" s="0">
        <is>
          <t xml:space="preserve">46-55</t>
        </is>
      </c>
      <c r="D69" t="inlineStr" s="0">
        <is>
          <t xml:space="preserve">Post Graduate</t>
        </is>
      </c>
      <c r="E69" t="inlineStr" s="0">
        <is>
          <t xml:space="preserve">Business/Self-employed</t>
        </is>
      </c>
      <c r="F69" t="inlineStr" s="0">
        <is>
          <t xml:space="preserve">25,000-50,000</t>
        </is>
      </c>
      <c r="G69" t="inlineStr" s="0">
        <is>
          <t xml:space="preserve">Yes</t>
        </is>
      </c>
      <c r="H69" t="inlineStr" s="0">
        <is>
          <t xml:space="preserve">Family Security/Protection</t>
        </is>
      </c>
      <c r="I69" t="inlineStr" s="0">
        <is>
          <t xml:space="preserve">LIC</t>
        </is>
      </c>
      <c r="J69" t="inlineStr" s="0">
        <is>
          <t xml:space="preserve">ULIP</t>
        </is>
      </c>
      <c r="K69" t="inlineStr" s="0">
        <is>
          <t xml:space="preserve">Liquidity</t>
        </is>
      </c>
      <c r="L69" t="inlineStr" s="0">
        <is>
          <t xml:space="preserve">Advertisements</t>
        </is>
      </c>
      <c r="M69" t="inlineStr" s="0">
        <is>
          <t xml:space="preserve">Moderately aware</t>
        </is>
      </c>
      <c r="N69" t="inlineStr" s="0">
        <is>
          <t xml:space="preserve">10,000-25,000</t>
        </is>
      </c>
      <c r="O69" t="inlineStr" s="0">
        <is>
          <t xml:space="preserve">Highly satisfied</t>
        </is>
      </c>
      <c r="P69" t="inlineStr" s="0">
        <is>
          <t xml:space="preserve">Yes</t>
        </is>
      </c>
    </row>
    <row r="70">
      <c r="A70" s="0">
        <v>69</v>
      </c>
      <c r="B70" t="inlineStr" s="0">
        <is>
          <t xml:space="preserve">Male</t>
        </is>
      </c>
      <c r="C70" t="inlineStr" s="0">
        <is>
          <t xml:space="preserve">25-35</t>
        </is>
      </c>
      <c r="D70" t="inlineStr" s="0">
        <is>
          <t xml:space="preserve">Graduate</t>
        </is>
      </c>
      <c r="E70" t="inlineStr" s="0">
        <is>
          <t xml:space="preserve">Business/Self-employed</t>
        </is>
      </c>
      <c r="F70" t="inlineStr" s="0">
        <is>
          <t xml:space="preserve">Above 75,000</t>
        </is>
      </c>
      <c r="G70" t="inlineStr" s="0">
        <is>
          <t xml:space="preserve">No</t>
        </is>
      </c>
      <c r="H70" t="inlineStr" s="0">
        <is>
          <t xml:space="preserve">Family Security/Protection</t>
        </is>
      </c>
      <c r="I70" t="inlineStr" s="0">
        <is>
          <t xml:space="preserve">ICICI Prudential</t>
        </is>
      </c>
      <c r="J70" t="inlineStr" s="0">
        <is>
          <t xml:space="preserve">Endowment Plan</t>
        </is>
      </c>
      <c r="K70" t="inlineStr" s="0">
        <is>
          <t xml:space="preserve">Tax Benefits</t>
        </is>
      </c>
      <c r="L70" t="inlineStr" s="0">
        <is>
          <t xml:space="preserve">Insurance Agents</t>
        </is>
      </c>
      <c r="M70" t="inlineStr" s="0">
        <is>
          <t xml:space="preserve">Fully aware</t>
        </is>
      </c>
      <c r="N70" t="inlineStr" s="0">
        <is>
          <t xml:space="preserve">Below 10,000</t>
        </is>
      </c>
      <c r="O70" t="inlineStr" s="0">
        <is>
          <t xml:space="preserve">Satisfied</t>
        </is>
      </c>
      <c r="P70" t="inlineStr" s="0">
        <is>
          <t xml:space="preserve">Maybe</t>
        </is>
      </c>
    </row>
    <row r="71">
      <c r="A71" s="0">
        <v>70</v>
      </c>
      <c r="B71" t="inlineStr" s="0">
        <is>
          <t xml:space="preserve">Male</t>
        </is>
      </c>
      <c r="C71" t="inlineStr" s="0">
        <is>
          <t xml:space="preserve">Below 25</t>
        </is>
      </c>
      <c r="D71" t="inlineStr" s="0">
        <is>
          <t xml:space="preserve">Graduate</t>
        </is>
      </c>
      <c r="E71" t="inlineStr" s="0">
        <is>
          <t xml:space="preserve">Professional</t>
        </is>
      </c>
      <c r="F71" t="inlineStr" s="0">
        <is>
          <t xml:space="preserve">Below 25,000</t>
        </is>
      </c>
      <c r="G71" t="inlineStr" s="0">
        <is>
          <t xml:space="preserve">Yes</t>
        </is>
      </c>
      <c r="H71" t="inlineStr" s="0">
        <is>
          <t xml:space="preserve">Tax Benefits</t>
        </is>
      </c>
      <c r="I71" t="inlineStr" s="0">
        <is>
          <t xml:space="preserve">LIC</t>
        </is>
      </c>
      <c r="J71" t="inlineStr" s="0">
        <is>
          <t xml:space="preserve">ULIP</t>
        </is>
      </c>
      <c r="K71" t="inlineStr" s="0">
        <is>
          <t xml:space="preserve">Liquidity</t>
        </is>
      </c>
      <c r="L71" t="inlineStr" s="0">
        <is>
          <t xml:space="preserve">Insurance Agents</t>
        </is>
      </c>
      <c r="M71" t="inlineStr" s="0">
        <is>
          <t xml:space="preserve">Not aware</t>
        </is>
      </c>
      <c r="N71" t="inlineStr" s="0">
        <is>
          <t xml:space="preserve">Below 10,000</t>
        </is>
      </c>
      <c r="O71" t="inlineStr" s="0">
        <is>
          <t xml:space="preserve">Neutral</t>
        </is>
      </c>
      <c r="P71" t="inlineStr" s="0">
        <is>
          <t xml:space="preserve">No</t>
        </is>
      </c>
    </row>
    <row r="72">
      <c r="A72" s="0">
        <v>71</v>
      </c>
      <c r="B72" t="inlineStr" s="0">
        <is>
          <t xml:space="preserve">Female</t>
        </is>
      </c>
      <c r="C72" t="inlineStr" s="0">
        <is>
          <t xml:space="preserve">25-35</t>
        </is>
      </c>
      <c r="D72" t="inlineStr" s="0">
        <is>
          <t xml:space="preserve">Post Graduate</t>
        </is>
      </c>
      <c r="E72" t="inlineStr" s="0">
        <is>
          <t xml:space="preserve">Student/Others</t>
        </is>
      </c>
      <c r="F72" t="inlineStr" s="0">
        <is>
          <t xml:space="preserve">25,000-50,000</t>
        </is>
      </c>
      <c r="G72" t="inlineStr" s="0">
        <is>
          <t xml:space="preserve">Yes</t>
        </is>
      </c>
      <c r="H72" t="inlineStr" s="0">
        <is>
          <t xml:space="preserve">Tax Benefits</t>
        </is>
      </c>
      <c r="I72" t="inlineStr" s="0">
        <is>
          <t xml:space="preserve">Others (Private)</t>
        </is>
      </c>
      <c r="J72" t="inlineStr" s="0">
        <is>
          <t xml:space="preserve">ULIP</t>
        </is>
      </c>
      <c r="K72" t="inlineStr" s="0">
        <is>
          <t xml:space="preserve">Safety/Security</t>
        </is>
      </c>
      <c r="L72" t="inlineStr" s="0">
        <is>
          <t xml:space="preserve">Advertisements</t>
        </is>
      </c>
      <c r="M72" t="inlineStr" s="0">
        <is>
          <t xml:space="preserve">Not aware</t>
        </is>
      </c>
      <c r="N72" t="inlineStr" s="0">
        <is>
          <t xml:space="preserve">10,000-25,000</t>
        </is>
      </c>
      <c r="O72" t="inlineStr" s="0">
        <is>
          <t xml:space="preserve">Dissatisfied</t>
        </is>
      </c>
      <c r="P72" t="inlineStr" s="0">
        <is>
          <t xml:space="preserve">Yes</t>
        </is>
      </c>
    </row>
    <row r="73">
      <c r="A73" s="0">
        <v>72</v>
      </c>
      <c r="B73" t="inlineStr" s="0">
        <is>
          <t xml:space="preserve">Female</t>
        </is>
      </c>
      <c r="C73" t="inlineStr" s="0">
        <is>
          <t xml:space="preserve">25-35</t>
        </is>
      </c>
      <c r="D73" t="inlineStr" s="0">
        <is>
          <t xml:space="preserve">Graduate</t>
        </is>
      </c>
      <c r="E73" t="inlineStr" s="0">
        <is>
          <t xml:space="preserve">Government Employee</t>
        </is>
      </c>
      <c r="F73" t="inlineStr" s="0">
        <is>
          <t xml:space="preserve">Below 25,000</t>
        </is>
      </c>
      <c r="G73" t="inlineStr" s="0">
        <is>
          <t xml:space="preserve">Yes</t>
        </is>
      </c>
      <c r="H73" t="inlineStr" s="0">
        <is>
          <t xml:space="preserve">Savings/Investment</t>
        </is>
      </c>
      <c r="I73" t="inlineStr" s="0">
        <is>
          <t xml:space="preserve">HDFC Life</t>
        </is>
      </c>
      <c r="J73" t="inlineStr" s="0">
        <is>
          <t xml:space="preserve">ULIP</t>
        </is>
      </c>
      <c r="K73" t="inlineStr" s="0">
        <is>
          <t xml:space="preserve">Returns/Bonus</t>
        </is>
      </c>
      <c r="L73" t="inlineStr" s="0">
        <is>
          <t xml:space="preserve">Friends &amp; Relatives</t>
        </is>
      </c>
      <c r="M73" t="inlineStr" s="0">
        <is>
          <t xml:space="preserve">Moderately aware</t>
        </is>
      </c>
      <c r="N73" t="inlineStr" s="0">
        <is>
          <t xml:space="preserve">10,000-25,000</t>
        </is>
      </c>
      <c r="O73" t="inlineStr" s="0">
        <is>
          <t xml:space="preserve">Neutral</t>
        </is>
      </c>
      <c r="P73" t="inlineStr" s="0">
        <is>
          <t xml:space="preserve">Maybe</t>
        </is>
      </c>
    </row>
    <row r="74">
      <c r="A74" s="0">
        <v>73</v>
      </c>
      <c r="B74" t="inlineStr" s="0">
        <is>
          <t xml:space="preserve">Female</t>
        </is>
      </c>
      <c r="C74" t="inlineStr" s="0">
        <is>
          <t xml:space="preserve">25-35</t>
        </is>
      </c>
      <c r="D74" t="inlineStr" s="0">
        <is>
          <t xml:space="preserve">Post Graduate</t>
        </is>
      </c>
      <c r="E74" t="inlineStr" s="0">
        <is>
          <t xml:space="preserve">Professional</t>
        </is>
      </c>
      <c r="F74" t="inlineStr" s="0">
        <is>
          <t xml:space="preserve">25,000-50,000</t>
        </is>
      </c>
      <c r="G74" t="inlineStr" s="0">
        <is>
          <t xml:space="preserve">No</t>
        </is>
      </c>
      <c r="H74" t="inlineStr" s="0">
        <is>
          <t xml:space="preserve">Savings/Investment</t>
        </is>
      </c>
      <c r="I74" t="inlineStr" s="0">
        <is>
          <t xml:space="preserve">HDFC Life</t>
        </is>
      </c>
      <c r="J74" t="inlineStr" s="0">
        <is>
          <t xml:space="preserve">Endowment Plan</t>
        </is>
      </c>
      <c r="K74" t="inlineStr" s="0">
        <is>
          <t xml:space="preserve">Company Reputation</t>
        </is>
      </c>
      <c r="L74" t="inlineStr" s="0">
        <is>
          <t xml:space="preserve">Friends &amp; Relatives</t>
        </is>
      </c>
      <c r="M74" t="inlineStr" s="0">
        <is>
          <t xml:space="preserve">Not aware</t>
        </is>
      </c>
      <c r="N74" t="inlineStr" s="0">
        <is>
          <t xml:space="preserve">25,001-50,000</t>
        </is>
      </c>
      <c r="O74" t="inlineStr" s="0">
        <is>
          <t xml:space="preserve">Highly satisfied</t>
        </is>
      </c>
      <c r="P74" t="inlineStr" s="0">
        <is>
          <t xml:space="preserve">Yes</t>
        </is>
      </c>
    </row>
    <row r="75">
      <c r="A75" s="0">
        <v>74</v>
      </c>
      <c r="B75" t="inlineStr" s="0">
        <is>
          <t xml:space="preserve">Male</t>
        </is>
      </c>
      <c r="C75" t="inlineStr" s="0">
        <is>
          <t xml:space="preserve">36-45</t>
        </is>
      </c>
      <c r="D75" t="inlineStr" s="0">
        <is>
          <t xml:space="preserve">Professional/Others</t>
        </is>
      </c>
      <c r="E75" t="inlineStr" s="0">
        <is>
          <t xml:space="preserve">Private Employee</t>
        </is>
      </c>
      <c r="F75" t="inlineStr" s="0">
        <is>
          <t xml:space="preserve">50,001-75,000</t>
        </is>
      </c>
      <c r="G75" t="inlineStr" s="0">
        <is>
          <t xml:space="preserve">Yes</t>
        </is>
      </c>
      <c r="H75" t="inlineStr" s="0">
        <is>
          <t xml:space="preserve">Savings/Investment</t>
        </is>
      </c>
      <c r="I75" t="inlineStr" s="0">
        <is>
          <t xml:space="preserve">LIC</t>
        </is>
      </c>
      <c r="J75" t="inlineStr" s="0">
        <is>
          <t xml:space="preserve">Endowment Plan</t>
        </is>
      </c>
      <c r="K75" t="inlineStr" s="0">
        <is>
          <t xml:space="preserve">Liquidity</t>
        </is>
      </c>
      <c r="L75" t="inlineStr" s="0">
        <is>
          <t xml:space="preserve">Insurance Agents</t>
        </is>
      </c>
      <c r="M75" t="inlineStr" s="0">
        <is>
          <t xml:space="preserve">Fully aware</t>
        </is>
      </c>
      <c r="N75" t="inlineStr" s="0">
        <is>
          <t xml:space="preserve">25,001-50,000</t>
        </is>
      </c>
      <c r="O75" t="inlineStr" s="0">
        <is>
          <t xml:space="preserve">Satisfied</t>
        </is>
      </c>
      <c r="P75" t="inlineStr" s="0">
        <is>
          <t xml:space="preserve">Yes</t>
        </is>
      </c>
    </row>
    <row r="76">
      <c r="A76" s="0">
        <v>75</v>
      </c>
      <c r="B76" t="inlineStr" s="0">
        <is>
          <t xml:space="preserve">Female</t>
        </is>
      </c>
      <c r="C76" t="inlineStr" s="0">
        <is>
          <t xml:space="preserve">25-35</t>
        </is>
      </c>
      <c r="D76" t="inlineStr" s="0">
        <is>
          <t xml:space="preserve">Post Graduate</t>
        </is>
      </c>
      <c r="E76" t="inlineStr" s="0">
        <is>
          <t xml:space="preserve">Private Employee</t>
        </is>
      </c>
      <c r="F76" t="inlineStr" s="0">
        <is>
          <t xml:space="preserve">50,001-75,000</t>
        </is>
      </c>
      <c r="G76" t="inlineStr" s="0">
        <is>
          <t xml:space="preserve">Yes</t>
        </is>
      </c>
      <c r="H76" t="inlineStr" s="0">
        <is>
          <t xml:space="preserve">Child's Future</t>
        </is>
      </c>
      <c r="I76" t="inlineStr" s="0">
        <is>
          <t xml:space="preserve">ICICI Prudential</t>
        </is>
      </c>
      <c r="J76" t="inlineStr" s="0">
        <is>
          <t xml:space="preserve">ULIP</t>
        </is>
      </c>
      <c r="K76" t="inlineStr" s="0">
        <is>
          <t xml:space="preserve">Company Reputation</t>
        </is>
      </c>
      <c r="L76" t="inlineStr" s="0">
        <is>
          <t xml:space="preserve">Friends &amp; Relatives</t>
        </is>
      </c>
      <c r="M76" t="inlineStr" s="0">
        <is>
          <t xml:space="preserve">Moderately aware</t>
        </is>
      </c>
      <c r="N76" t="inlineStr" s="0">
        <is>
          <t xml:space="preserve">25,001-50,000</t>
        </is>
      </c>
      <c r="O76" t="inlineStr" s="0">
        <is>
          <t xml:space="preserve">Satisfied</t>
        </is>
      </c>
      <c r="P76" t="inlineStr" s="0">
        <is>
          <t xml:space="preserve">Yes</t>
        </is>
      </c>
    </row>
    <row r="77">
      <c r="A77" s="0">
        <v>76</v>
      </c>
      <c r="B77" t="inlineStr" s="0">
        <is>
          <t xml:space="preserve">Male</t>
        </is>
      </c>
      <c r="C77" t="inlineStr" s="0">
        <is>
          <t xml:space="preserve">25-35</t>
        </is>
      </c>
      <c r="D77" t="inlineStr" s="0">
        <is>
          <t xml:space="preserve">Graduate</t>
        </is>
      </c>
      <c r="E77" t="inlineStr" s="0">
        <is>
          <t xml:space="preserve">Private Employee</t>
        </is>
      </c>
      <c r="F77" t="inlineStr" s="0">
        <is>
          <t xml:space="preserve">Below 25,000</t>
        </is>
      </c>
      <c r="G77" t="inlineStr" s="0">
        <is>
          <t xml:space="preserve">Yes</t>
        </is>
      </c>
      <c r="H77" t="inlineStr" s="0">
        <is>
          <t xml:space="preserve">Retirement Planning</t>
        </is>
      </c>
      <c r="I77" t="inlineStr" s="0">
        <is>
          <t xml:space="preserve">ICICI Prudential</t>
        </is>
      </c>
      <c r="J77" t="inlineStr" s="0">
        <is>
          <t xml:space="preserve">Endowment Plan</t>
        </is>
      </c>
      <c r="K77" t="inlineStr" s="0">
        <is>
          <t xml:space="preserve">Liquidity</t>
        </is>
      </c>
      <c r="L77" t="inlineStr" s="0">
        <is>
          <t xml:space="preserve">Advertisements</t>
        </is>
      </c>
      <c r="M77" t="inlineStr" s="0">
        <is>
          <t xml:space="preserve">Not aware</t>
        </is>
      </c>
      <c r="N77" t="inlineStr" s="0">
        <is>
          <t xml:space="preserve">10,000-25,000</t>
        </is>
      </c>
      <c r="O77" t="inlineStr" s="0">
        <is>
          <t xml:space="preserve">Highly dissatisfied</t>
        </is>
      </c>
      <c r="P77" t="inlineStr" s="0">
        <is>
          <t xml:space="preserve">Yes</t>
        </is>
      </c>
    </row>
    <row r="78">
      <c r="A78" s="0">
        <v>77</v>
      </c>
      <c r="B78" t="inlineStr" s="0">
        <is>
          <t xml:space="preserve">Male</t>
        </is>
      </c>
      <c r="C78" t="inlineStr" s="0">
        <is>
          <t xml:space="preserve">Above 55</t>
        </is>
      </c>
      <c r="D78" t="inlineStr" s="0">
        <is>
          <t xml:space="preserve">Up to Higher Secondary</t>
        </is>
      </c>
      <c r="E78" t="inlineStr" s="0">
        <is>
          <t xml:space="preserve">Private Employee</t>
        </is>
      </c>
      <c r="F78" t="inlineStr" s="0">
        <is>
          <t xml:space="preserve">Below 25,000</t>
        </is>
      </c>
      <c r="G78" t="inlineStr" s="0">
        <is>
          <t xml:space="preserve">Yes</t>
        </is>
      </c>
      <c r="H78" t="inlineStr" s="0">
        <is>
          <t xml:space="preserve">Tax Benefits</t>
        </is>
      </c>
      <c r="I78" t="inlineStr" s="0">
        <is>
          <t xml:space="preserve">HDFC Life</t>
        </is>
      </c>
      <c r="J78" t="inlineStr" s="0">
        <is>
          <t xml:space="preserve">Endowment Plan</t>
        </is>
      </c>
      <c r="K78" t="inlineStr" s="0">
        <is>
          <t xml:space="preserve">Safety/Security</t>
        </is>
      </c>
      <c r="L78" t="inlineStr" s="0">
        <is>
          <t xml:space="preserve">Advertisements</t>
        </is>
      </c>
      <c r="M78" t="inlineStr" s="0">
        <is>
          <t xml:space="preserve">Moderately aware</t>
        </is>
      </c>
      <c r="N78" t="inlineStr" s="0">
        <is>
          <t xml:space="preserve">25,001-50,000</t>
        </is>
      </c>
      <c r="O78" t="inlineStr" s="0">
        <is>
          <t xml:space="preserve">Neutral</t>
        </is>
      </c>
      <c r="P78" t="inlineStr" s="0">
        <is>
          <t xml:space="preserve">Yes</t>
        </is>
      </c>
    </row>
    <row r="79">
      <c r="A79" s="0">
        <v>78</v>
      </c>
      <c r="B79" t="inlineStr" s="0">
        <is>
          <t xml:space="preserve">Female</t>
        </is>
      </c>
      <c r="C79" t="inlineStr" s="0">
        <is>
          <t xml:space="preserve">25-35</t>
        </is>
      </c>
      <c r="D79" t="inlineStr" s="0">
        <is>
          <t xml:space="preserve">Post Graduate</t>
        </is>
      </c>
      <c r="E79" t="inlineStr" s="0">
        <is>
          <t xml:space="preserve">Private Employee</t>
        </is>
      </c>
      <c r="F79" t="inlineStr" s="0">
        <is>
          <t xml:space="preserve">Above 75,000</t>
        </is>
      </c>
      <c r="G79" t="inlineStr" s="0">
        <is>
          <t xml:space="preserve">Yes</t>
        </is>
      </c>
      <c r="H79" t="inlineStr" s="0">
        <is>
          <t xml:space="preserve">Child's Future</t>
        </is>
      </c>
      <c r="I79" t="inlineStr" s="0">
        <is>
          <t xml:space="preserve">LIC</t>
        </is>
      </c>
      <c r="J79" t="inlineStr" s="0">
        <is>
          <t xml:space="preserve">Term Insurance</t>
        </is>
      </c>
      <c r="K79" t="inlineStr" s="0">
        <is>
          <t xml:space="preserve">Company Reputation</t>
        </is>
      </c>
      <c r="L79" t="inlineStr" s="0">
        <is>
          <t xml:space="preserve">Insurance Agents</t>
        </is>
      </c>
      <c r="M79" t="inlineStr" s="0">
        <is>
          <t xml:space="preserve">Fully aware</t>
        </is>
      </c>
      <c r="N79" t="inlineStr" s="0">
        <is>
          <t xml:space="preserve">10,000-25,000</t>
        </is>
      </c>
      <c r="O79" t="inlineStr" s="0">
        <is>
          <t xml:space="preserve">Highly satisfied</t>
        </is>
      </c>
      <c r="P79" t="inlineStr" s="0">
        <is>
          <t xml:space="preserve">Yes</t>
        </is>
      </c>
    </row>
    <row r="80">
      <c r="A80" s="0">
        <v>79</v>
      </c>
      <c r="B80" t="inlineStr" s="0">
        <is>
          <t xml:space="preserve">Male</t>
        </is>
      </c>
      <c r="C80" t="inlineStr" s="0">
        <is>
          <t xml:space="preserve">36-45</t>
        </is>
      </c>
      <c r="D80" t="inlineStr" s="0">
        <is>
          <t xml:space="preserve">Post Graduate</t>
        </is>
      </c>
      <c r="E80" t="inlineStr" s="0">
        <is>
          <t xml:space="preserve">Government Employee</t>
        </is>
      </c>
      <c r="F80" t="inlineStr" s="0">
        <is>
          <t xml:space="preserve">25,000-50,000</t>
        </is>
      </c>
      <c r="G80" t="inlineStr" s="0">
        <is>
          <t xml:space="preserve">Yes</t>
        </is>
      </c>
      <c r="H80" t="inlineStr" s="0">
        <is>
          <t xml:space="preserve">Family Security/Protection</t>
        </is>
      </c>
      <c r="I80" t="inlineStr" s="0">
        <is>
          <t xml:space="preserve">SBI Life</t>
        </is>
      </c>
      <c r="J80" t="inlineStr" s="0">
        <is>
          <t xml:space="preserve">Term Insurance</t>
        </is>
      </c>
      <c r="K80" t="inlineStr" s="0">
        <is>
          <t xml:space="preserve">Safety/Security</t>
        </is>
      </c>
      <c r="L80" t="inlineStr" s="0">
        <is>
          <t xml:space="preserve">Advertisements</t>
        </is>
      </c>
      <c r="M80" t="inlineStr" s="0">
        <is>
          <t xml:space="preserve">Moderately aware</t>
        </is>
      </c>
      <c r="N80" t="inlineStr" s="0">
        <is>
          <t xml:space="preserve">10,000-25,000</t>
        </is>
      </c>
      <c r="O80" t="inlineStr" s="0">
        <is>
          <t xml:space="preserve">Satisfied</t>
        </is>
      </c>
      <c r="P80" t="inlineStr" s="0">
        <is>
          <t xml:space="preserve">Yes</t>
        </is>
      </c>
    </row>
    <row r="81">
      <c r="A81" s="0">
        <v>80</v>
      </c>
      <c r="B81" t="inlineStr" s="0">
        <is>
          <t xml:space="preserve">Female</t>
        </is>
      </c>
      <c r="C81" t="inlineStr" s="0">
        <is>
          <t xml:space="preserve">Below 25</t>
        </is>
      </c>
      <c r="D81" t="inlineStr" s="0">
        <is>
          <t xml:space="preserve">Post Graduate</t>
        </is>
      </c>
      <c r="E81" t="inlineStr" s="0">
        <is>
          <t xml:space="preserve">Business/Self-employed</t>
        </is>
      </c>
      <c r="F81" t="inlineStr" s="0">
        <is>
          <t xml:space="preserve">50,001-75,000</t>
        </is>
      </c>
      <c r="G81" t="inlineStr" s="0">
        <is>
          <t xml:space="preserve">No</t>
        </is>
      </c>
      <c r="H81" t="inlineStr" s="0">
        <is>
          <t xml:space="preserve">Savings/Investment</t>
        </is>
      </c>
      <c r="I81" t="inlineStr" s="0">
        <is>
          <t xml:space="preserve">SBI Life</t>
        </is>
      </c>
      <c r="J81" t="inlineStr" s="0">
        <is>
          <t xml:space="preserve">Endowment Plan</t>
        </is>
      </c>
      <c r="K81" t="inlineStr" s="0">
        <is>
          <t xml:space="preserve">Returns/Bonus</t>
        </is>
      </c>
      <c r="L81" t="inlineStr" s="0">
        <is>
          <t xml:space="preserve">Advertisements</t>
        </is>
      </c>
      <c r="M81" t="inlineStr" s="0">
        <is>
          <t xml:space="preserve">Moderately aware</t>
        </is>
      </c>
      <c r="N81" t="inlineStr" s="0">
        <is>
          <t xml:space="preserve">10,000-25,000</t>
        </is>
      </c>
      <c r="O81" t="inlineStr" s="0">
        <is>
          <t xml:space="preserve">Satisfied</t>
        </is>
      </c>
      <c r="P81" t="inlineStr" s="0">
        <is>
          <t xml:space="preserve">Yes</t>
        </is>
      </c>
    </row>
    <row r="82">
      <c r="A82" s="0">
        <v>81</v>
      </c>
      <c r="B82" t="inlineStr" s="0">
        <is>
          <t xml:space="preserve">Male</t>
        </is>
      </c>
      <c r="C82" t="inlineStr" s="0">
        <is>
          <t xml:space="preserve">46-55</t>
        </is>
      </c>
      <c r="D82" t="inlineStr" s="0">
        <is>
          <t xml:space="preserve">Post Graduate</t>
        </is>
      </c>
      <c r="E82" t="inlineStr" s="0">
        <is>
          <t xml:space="preserve">Professional</t>
        </is>
      </c>
      <c r="F82" t="inlineStr" s="0">
        <is>
          <t xml:space="preserve">50,001-75,000</t>
        </is>
      </c>
      <c r="G82" t="inlineStr" s="0">
        <is>
          <t xml:space="preserve">No</t>
        </is>
      </c>
      <c r="H82" t="inlineStr" s="0">
        <is>
          <t xml:space="preserve">Tax Benefits</t>
        </is>
      </c>
      <c r="I82" t="inlineStr" s="0">
        <is>
          <t xml:space="preserve">LIC</t>
        </is>
      </c>
      <c r="J82" t="inlineStr" s="0">
        <is>
          <t xml:space="preserve">Endowment Plan</t>
        </is>
      </c>
      <c r="K82" t="inlineStr" s="0">
        <is>
          <t xml:space="preserve">Tax Benefits</t>
        </is>
      </c>
      <c r="L82" t="inlineStr" s="0">
        <is>
          <t xml:space="preserve">Internet/Social Media</t>
        </is>
      </c>
      <c r="M82" t="inlineStr" s="0">
        <is>
          <t xml:space="preserve">Not aware</t>
        </is>
      </c>
      <c r="N82" t="inlineStr" s="0">
        <is>
          <t xml:space="preserve">25,001-50,000</t>
        </is>
      </c>
      <c r="O82" t="inlineStr" s="0">
        <is>
          <t xml:space="preserve">Neutral</t>
        </is>
      </c>
      <c r="P82" t="inlineStr" s="0">
        <is>
          <t xml:space="preserve">Yes</t>
        </is>
      </c>
    </row>
    <row r="83">
      <c r="A83" s="0">
        <v>82</v>
      </c>
      <c r="B83" t="inlineStr" s="0">
        <is>
          <t xml:space="preserve">Male</t>
        </is>
      </c>
      <c r="C83" t="inlineStr" s="0">
        <is>
          <t xml:space="preserve">25-35</t>
        </is>
      </c>
      <c r="D83" t="inlineStr" s="0">
        <is>
          <t xml:space="preserve">Post Graduate</t>
        </is>
      </c>
      <c r="E83" t="inlineStr" s="0">
        <is>
          <t xml:space="preserve">Private Employee</t>
        </is>
      </c>
      <c r="F83" t="inlineStr" s="0">
        <is>
          <t xml:space="preserve">25,000-50,000</t>
        </is>
      </c>
      <c r="G83" t="inlineStr" s="0">
        <is>
          <t xml:space="preserve">Yes</t>
        </is>
      </c>
      <c r="H83" t="inlineStr" s="0">
        <is>
          <t xml:space="preserve">Savings/Investment</t>
        </is>
      </c>
      <c r="I83" t="inlineStr" s="0">
        <is>
          <t xml:space="preserve">HDFC Life</t>
        </is>
      </c>
      <c r="J83" t="inlineStr" s="0">
        <is>
          <t xml:space="preserve">Money-Back Plan</t>
        </is>
      </c>
      <c r="K83" t="inlineStr" s="0">
        <is>
          <t xml:space="preserve">Safety/Security</t>
        </is>
      </c>
      <c r="L83" t="inlineStr" s="0">
        <is>
          <t xml:space="preserve">Bank/Bancassurance</t>
        </is>
      </c>
      <c r="M83" t="inlineStr" s="0">
        <is>
          <t xml:space="preserve">Not aware</t>
        </is>
      </c>
      <c r="N83" t="inlineStr" s="0">
        <is>
          <t xml:space="preserve">Below 10,000</t>
        </is>
      </c>
      <c r="O83" t="inlineStr" s="0">
        <is>
          <t xml:space="preserve">Satisfied</t>
        </is>
      </c>
      <c r="P83" t="inlineStr" s="0">
        <is>
          <t xml:space="preserve">Yes</t>
        </is>
      </c>
    </row>
    <row r="84">
      <c r="A84" s="0">
        <v>83</v>
      </c>
      <c r="B84" t="inlineStr" s="0">
        <is>
          <t xml:space="preserve">Female</t>
        </is>
      </c>
      <c r="C84" t="inlineStr" s="0">
        <is>
          <t xml:space="preserve">36-45</t>
        </is>
      </c>
      <c r="D84" t="inlineStr" s="0">
        <is>
          <t xml:space="preserve">Graduate</t>
        </is>
      </c>
      <c r="E84" t="inlineStr" s="0">
        <is>
          <t xml:space="preserve">Student/Others</t>
        </is>
      </c>
      <c r="F84" t="inlineStr" s="0">
        <is>
          <t xml:space="preserve">50,001-75,000</t>
        </is>
      </c>
      <c r="G84" t="inlineStr" s="0">
        <is>
          <t xml:space="preserve">No</t>
        </is>
      </c>
      <c r="H84" t="inlineStr" s="0">
        <is>
          <t xml:space="preserve">Family Security/Protection</t>
        </is>
      </c>
      <c r="I84" t="inlineStr" s="0">
        <is>
          <t xml:space="preserve">LIC</t>
        </is>
      </c>
      <c r="J84" t="inlineStr" s="0">
        <is>
          <t xml:space="preserve">Endowment Plan</t>
        </is>
      </c>
      <c r="K84" t="inlineStr" s="0">
        <is>
          <t xml:space="preserve">Company Reputation</t>
        </is>
      </c>
      <c r="L84" t="inlineStr" s="0">
        <is>
          <t xml:space="preserve">Insurance Agents</t>
        </is>
      </c>
      <c r="M84" t="inlineStr" s="0">
        <is>
          <t xml:space="preserve">Not aware</t>
        </is>
      </c>
      <c r="N84" t="inlineStr" s="0">
        <is>
          <t xml:space="preserve">Below 10,000</t>
        </is>
      </c>
      <c r="O84" t="inlineStr" s="0">
        <is>
          <t xml:space="preserve">Satisfied</t>
        </is>
      </c>
      <c r="P84" t="inlineStr" s="0">
        <is>
          <t xml:space="preserve">Yes</t>
        </is>
      </c>
    </row>
    <row r="85">
      <c r="A85" s="0">
        <v>84</v>
      </c>
      <c r="B85" t="inlineStr" s="0">
        <is>
          <t xml:space="preserve">Female</t>
        </is>
      </c>
      <c r="C85" t="inlineStr" s="0">
        <is>
          <t xml:space="preserve">Below 25</t>
        </is>
      </c>
      <c r="D85" t="inlineStr" s="0">
        <is>
          <t xml:space="preserve">Up to Higher Secondary</t>
        </is>
      </c>
      <c r="E85" t="inlineStr" s="0">
        <is>
          <t xml:space="preserve">Private Employee</t>
        </is>
      </c>
      <c r="F85" t="inlineStr" s="0">
        <is>
          <t xml:space="preserve">25,000-50,000</t>
        </is>
      </c>
      <c r="G85" t="inlineStr" s="0">
        <is>
          <t xml:space="preserve">Yes</t>
        </is>
      </c>
      <c r="H85" t="inlineStr" s="0">
        <is>
          <t xml:space="preserve">Tax Benefits</t>
        </is>
      </c>
      <c r="I85" t="inlineStr" s="0">
        <is>
          <t xml:space="preserve">ICICI Prudential</t>
        </is>
      </c>
      <c r="J85" t="inlineStr" s="0">
        <is>
          <t xml:space="preserve">Money-Back Plan</t>
        </is>
      </c>
      <c r="K85" t="inlineStr" s="0">
        <is>
          <t xml:space="preserve">Company Reputation</t>
        </is>
      </c>
      <c r="L85" t="inlineStr" s="0">
        <is>
          <t xml:space="preserve">Internet/Social Media</t>
        </is>
      </c>
      <c r="M85" t="inlineStr" s="0">
        <is>
          <t xml:space="preserve">Moderately aware</t>
        </is>
      </c>
      <c r="N85" t="inlineStr" s="0">
        <is>
          <t xml:space="preserve">Below 10,000</t>
        </is>
      </c>
      <c r="O85" t="inlineStr" s="0">
        <is>
          <t xml:space="preserve">Highly satisfied</t>
        </is>
      </c>
      <c r="P85" t="inlineStr" s="0">
        <is>
          <t xml:space="preserve">Yes</t>
        </is>
      </c>
    </row>
    <row r="86">
      <c r="A86" s="0">
        <v>85</v>
      </c>
      <c r="B86" t="inlineStr" s="0">
        <is>
          <t xml:space="preserve">Male</t>
        </is>
      </c>
      <c r="C86" t="inlineStr" s="0">
        <is>
          <t xml:space="preserve">25-35</t>
        </is>
      </c>
      <c r="D86" t="inlineStr" s="0">
        <is>
          <t xml:space="preserve">Graduate</t>
        </is>
      </c>
      <c r="E86" t="inlineStr" s="0">
        <is>
          <t xml:space="preserve">Business/Self-employed</t>
        </is>
      </c>
      <c r="F86" t="inlineStr" s="0">
        <is>
          <t xml:space="preserve">Below 25,000</t>
        </is>
      </c>
      <c r="G86" t="inlineStr" s="0">
        <is>
          <t xml:space="preserve">Yes</t>
        </is>
      </c>
      <c r="H86" t="inlineStr" s="0">
        <is>
          <t xml:space="preserve">Family Security/Protection</t>
        </is>
      </c>
      <c r="I86" t="inlineStr" s="0">
        <is>
          <t xml:space="preserve">LIC</t>
        </is>
      </c>
      <c r="J86" t="inlineStr" s="0">
        <is>
          <t xml:space="preserve">Term Insurance</t>
        </is>
      </c>
      <c r="K86" t="inlineStr" s="0">
        <is>
          <t xml:space="preserve">Returns/Bonus</t>
        </is>
      </c>
      <c r="L86" t="inlineStr" s="0">
        <is>
          <t xml:space="preserve">Internet/Social Media</t>
        </is>
      </c>
      <c r="M86" t="inlineStr" s="0">
        <is>
          <t xml:space="preserve">Moderately aware</t>
        </is>
      </c>
      <c r="N86" t="inlineStr" s="0">
        <is>
          <t xml:space="preserve">10,000-25,000</t>
        </is>
      </c>
      <c r="O86" t="inlineStr" s="0">
        <is>
          <t xml:space="preserve">Highly dissatisfied</t>
        </is>
      </c>
      <c r="P86" t="inlineStr" s="0">
        <is>
          <t xml:space="preserve">No</t>
        </is>
      </c>
    </row>
    <row r="87">
      <c r="A87" s="0">
        <v>86</v>
      </c>
      <c r="B87" t="inlineStr" s="0">
        <is>
          <t xml:space="preserve">Male</t>
        </is>
      </c>
      <c r="C87" t="inlineStr" s="0">
        <is>
          <t xml:space="preserve">46-55</t>
        </is>
      </c>
      <c r="D87" t="inlineStr" s="0">
        <is>
          <t xml:space="preserve">Post Graduate</t>
        </is>
      </c>
      <c r="E87" t="inlineStr" s="0">
        <is>
          <t xml:space="preserve">Business/Self-employed</t>
        </is>
      </c>
      <c r="F87" t="inlineStr" s="0">
        <is>
          <t xml:space="preserve">Above 75,000</t>
        </is>
      </c>
      <c r="G87" t="inlineStr" s="0">
        <is>
          <t xml:space="preserve">No</t>
        </is>
      </c>
      <c r="H87" t="inlineStr" s="0">
        <is>
          <t xml:space="preserve">Family Security/Protection</t>
        </is>
      </c>
      <c r="I87" t="inlineStr" s="0">
        <is>
          <t xml:space="preserve">LIC</t>
        </is>
      </c>
      <c r="J87" t="inlineStr" s="0">
        <is>
          <t xml:space="preserve">Term Insurance</t>
        </is>
      </c>
      <c r="K87" t="inlineStr" s="0">
        <is>
          <t xml:space="preserve">Company Reputation</t>
        </is>
      </c>
      <c r="L87" t="inlineStr" s="0">
        <is>
          <t xml:space="preserve">Insurance Agents</t>
        </is>
      </c>
      <c r="M87" t="inlineStr" s="0">
        <is>
          <t xml:space="preserve">Moderately aware</t>
        </is>
      </c>
      <c r="N87" t="inlineStr" s="0">
        <is>
          <t xml:space="preserve">25,001-50,000</t>
        </is>
      </c>
      <c r="O87" t="inlineStr" s="0">
        <is>
          <t xml:space="preserve">Highly satisfied</t>
        </is>
      </c>
      <c r="P87" t="inlineStr" s="0">
        <is>
          <t xml:space="preserve">No</t>
        </is>
      </c>
    </row>
    <row r="88">
      <c r="A88" s="0">
        <v>87</v>
      </c>
      <c r="B88" t="inlineStr" s="0">
        <is>
          <t xml:space="preserve">Female</t>
        </is>
      </c>
      <c r="C88" t="inlineStr" s="0">
        <is>
          <t xml:space="preserve">25-35</t>
        </is>
      </c>
      <c r="D88" t="inlineStr" s="0">
        <is>
          <t xml:space="preserve">Graduate</t>
        </is>
      </c>
      <c r="E88" t="inlineStr" s="0">
        <is>
          <t xml:space="preserve">Private Employee</t>
        </is>
      </c>
      <c r="F88" t="inlineStr" s="0">
        <is>
          <t xml:space="preserve">25,000-50,000</t>
        </is>
      </c>
      <c r="G88" t="inlineStr" s="0">
        <is>
          <t xml:space="preserve">Yes</t>
        </is>
      </c>
      <c r="H88" t="inlineStr" s="0">
        <is>
          <t xml:space="preserve">Family Security/Protection</t>
        </is>
      </c>
      <c r="I88" t="inlineStr" s="0">
        <is>
          <t xml:space="preserve">ICICI Prudential</t>
        </is>
      </c>
      <c r="J88" t="inlineStr" s="0">
        <is>
          <t xml:space="preserve">Money-Back Plan</t>
        </is>
      </c>
      <c r="K88" t="inlineStr" s="0">
        <is>
          <t xml:space="preserve">Returns/Bonus</t>
        </is>
      </c>
      <c r="L88" t="inlineStr" s="0">
        <is>
          <t xml:space="preserve">Friends &amp; Relatives</t>
        </is>
      </c>
      <c r="M88" t="inlineStr" s="0">
        <is>
          <t xml:space="preserve">Moderately aware</t>
        </is>
      </c>
      <c r="N88" t="inlineStr" s="0">
        <is>
          <t xml:space="preserve">10,000-25,000</t>
        </is>
      </c>
      <c r="O88" t="inlineStr" s="0">
        <is>
          <t xml:space="preserve">Highly satisfied</t>
        </is>
      </c>
      <c r="P88" t="inlineStr" s="0">
        <is>
          <t xml:space="preserve">Yes</t>
        </is>
      </c>
    </row>
    <row r="89">
      <c r="A89" s="0">
        <v>88</v>
      </c>
      <c r="B89" t="inlineStr" s="0">
        <is>
          <t xml:space="preserve">Female</t>
        </is>
      </c>
      <c r="C89" t="inlineStr" s="0">
        <is>
          <t xml:space="preserve">Below 25</t>
        </is>
      </c>
      <c r="D89" t="inlineStr" s="0">
        <is>
          <t xml:space="preserve">Up to Higher Secondary</t>
        </is>
      </c>
      <c r="E89" t="inlineStr" s="0">
        <is>
          <t xml:space="preserve">Professional</t>
        </is>
      </c>
      <c r="F89" t="inlineStr" s="0">
        <is>
          <t xml:space="preserve">25,000-50,000</t>
        </is>
      </c>
      <c r="G89" t="inlineStr" s="0">
        <is>
          <t xml:space="preserve">Yes</t>
        </is>
      </c>
      <c r="H89" t="inlineStr" s="0">
        <is>
          <t xml:space="preserve">Family Security/Protection</t>
        </is>
      </c>
      <c r="I89" t="inlineStr" s="0">
        <is>
          <t xml:space="preserve">Others (Private)</t>
        </is>
      </c>
      <c r="J89" t="inlineStr" s="0">
        <is>
          <t xml:space="preserve">Endowment Plan</t>
        </is>
      </c>
      <c r="K89" t="inlineStr" s="0">
        <is>
          <t xml:space="preserve">Company Reputation</t>
        </is>
      </c>
      <c r="L89" t="inlineStr" s="0">
        <is>
          <t xml:space="preserve">Insurance Agents</t>
        </is>
      </c>
      <c r="M89" t="inlineStr" s="0">
        <is>
          <t xml:space="preserve">Moderately aware</t>
        </is>
      </c>
      <c r="N89" t="inlineStr" s="0">
        <is>
          <t xml:space="preserve">Below 10,000</t>
        </is>
      </c>
      <c r="O89" t="inlineStr" s="0">
        <is>
          <t xml:space="preserve">Satisfied</t>
        </is>
      </c>
      <c r="P89" t="inlineStr" s="0">
        <is>
          <t xml:space="preserve">Yes</t>
        </is>
      </c>
    </row>
    <row r="90">
      <c r="A90" s="0">
        <v>89</v>
      </c>
      <c r="B90" t="inlineStr" s="0">
        <is>
          <t xml:space="preserve">Male</t>
        </is>
      </c>
      <c r="C90" t="inlineStr" s="0">
        <is>
          <t xml:space="preserve">25-35</t>
        </is>
      </c>
      <c r="D90" t="inlineStr" s="0">
        <is>
          <t xml:space="preserve">Post Graduate</t>
        </is>
      </c>
      <c r="E90" t="inlineStr" s="0">
        <is>
          <t xml:space="preserve">Private Employee</t>
        </is>
      </c>
      <c r="F90" t="inlineStr" s="0">
        <is>
          <t xml:space="preserve">50,001-75,000</t>
        </is>
      </c>
      <c r="G90" t="inlineStr" s="0">
        <is>
          <t xml:space="preserve">Yes</t>
        </is>
      </c>
      <c r="H90" t="inlineStr" s="0">
        <is>
          <t xml:space="preserve">Family Security/Protection</t>
        </is>
      </c>
      <c r="I90" t="inlineStr" s="0">
        <is>
          <t xml:space="preserve">HDFC Life</t>
        </is>
      </c>
      <c r="J90" t="inlineStr" s="0">
        <is>
          <t xml:space="preserve">Money-Back Plan</t>
        </is>
      </c>
      <c r="K90" t="inlineStr" s="0">
        <is>
          <t xml:space="preserve">Safety/Security</t>
        </is>
      </c>
      <c r="L90" t="inlineStr" s="0">
        <is>
          <t xml:space="preserve">Insurance Agents</t>
        </is>
      </c>
      <c r="M90" t="inlineStr" s="0">
        <is>
          <t xml:space="preserve">Moderately aware</t>
        </is>
      </c>
      <c r="N90" t="inlineStr" s="0">
        <is>
          <t xml:space="preserve">10,000-25,000</t>
        </is>
      </c>
      <c r="O90" t="inlineStr" s="0">
        <is>
          <t xml:space="preserve">Satisfied</t>
        </is>
      </c>
      <c r="P90" t="inlineStr" s="0">
        <is>
          <t xml:space="preserve">Yes</t>
        </is>
      </c>
    </row>
    <row r="91">
      <c r="A91" s="0">
        <v>90</v>
      </c>
      <c r="B91" t="inlineStr" s="0">
        <is>
          <t xml:space="preserve">Female</t>
        </is>
      </c>
      <c r="C91" t="inlineStr" s="0">
        <is>
          <t xml:space="preserve">36-45</t>
        </is>
      </c>
      <c r="D91" t="inlineStr" s="0">
        <is>
          <t xml:space="preserve">Graduate</t>
        </is>
      </c>
      <c r="E91" t="inlineStr" s="0">
        <is>
          <t xml:space="preserve">Private Employee</t>
        </is>
      </c>
      <c r="F91" t="inlineStr" s="0">
        <is>
          <t xml:space="preserve">Below 25,000</t>
        </is>
      </c>
      <c r="G91" t="inlineStr" s="0">
        <is>
          <t xml:space="preserve">Yes</t>
        </is>
      </c>
      <c r="H91" t="inlineStr" s="0">
        <is>
          <t xml:space="preserve">Savings/Investment</t>
        </is>
      </c>
      <c r="I91" t="inlineStr" s="0">
        <is>
          <t xml:space="preserve">LIC</t>
        </is>
      </c>
      <c r="J91" t="inlineStr" s="0">
        <is>
          <t xml:space="preserve">Term Insurance</t>
        </is>
      </c>
      <c r="K91" t="inlineStr" s="0">
        <is>
          <t xml:space="preserve">Safety/Security</t>
        </is>
      </c>
      <c r="L91" t="inlineStr" s="0">
        <is>
          <t xml:space="preserve">Insurance Agents</t>
        </is>
      </c>
      <c r="M91" t="inlineStr" s="0">
        <is>
          <t xml:space="preserve">Fully aware</t>
        </is>
      </c>
      <c r="N91" t="inlineStr" s="0">
        <is>
          <t xml:space="preserve">10,000-25,000</t>
        </is>
      </c>
      <c r="O91" t="inlineStr" s="0">
        <is>
          <t xml:space="preserve">Dissatisfied</t>
        </is>
      </c>
      <c r="P91" t="inlineStr" s="0">
        <is>
          <t xml:space="preserve">Yes</t>
        </is>
      </c>
    </row>
    <row r="92">
      <c r="A92" s="0">
        <v>91</v>
      </c>
      <c r="B92" t="inlineStr" s="0">
        <is>
          <t xml:space="preserve">Male</t>
        </is>
      </c>
      <c r="C92" t="inlineStr" s="0">
        <is>
          <t xml:space="preserve">46-55</t>
        </is>
      </c>
      <c r="D92" t="inlineStr" s="0">
        <is>
          <t xml:space="preserve">Graduate</t>
        </is>
      </c>
      <c r="E92" t="inlineStr" s="0">
        <is>
          <t xml:space="preserve">Private Employee</t>
        </is>
      </c>
      <c r="F92" t="inlineStr" s="0">
        <is>
          <t xml:space="preserve">25,000-50,000</t>
        </is>
      </c>
      <c r="G92" t="inlineStr" s="0">
        <is>
          <t xml:space="preserve">Yes</t>
        </is>
      </c>
      <c r="H92" t="inlineStr" s="0">
        <is>
          <t xml:space="preserve">Family Security/Protection</t>
        </is>
      </c>
      <c r="I92" t="inlineStr" s="0">
        <is>
          <t xml:space="preserve">LIC</t>
        </is>
      </c>
      <c r="J92" t="inlineStr" s="0">
        <is>
          <t xml:space="preserve">Pension/Retirement Plan</t>
        </is>
      </c>
      <c r="K92" t="inlineStr" s="0">
        <is>
          <t xml:space="preserve">Tax Benefits</t>
        </is>
      </c>
      <c r="L92" t="inlineStr" s="0">
        <is>
          <t xml:space="preserve">Friends &amp; Relatives</t>
        </is>
      </c>
      <c r="M92" t="inlineStr" s="0">
        <is>
          <t xml:space="preserve">Moderately aware</t>
        </is>
      </c>
      <c r="N92" t="inlineStr" s="0">
        <is>
          <t xml:space="preserve">10,000-25,000</t>
        </is>
      </c>
      <c r="O92" t="inlineStr" s="0">
        <is>
          <t xml:space="preserve">Neutral</t>
        </is>
      </c>
      <c r="P92" t="inlineStr" s="0">
        <is>
          <t xml:space="preserve">Yes</t>
        </is>
      </c>
    </row>
    <row r="93">
      <c r="A93" s="0">
        <v>92</v>
      </c>
      <c r="B93" t="inlineStr" s="0">
        <is>
          <t xml:space="preserve">Female</t>
        </is>
      </c>
      <c r="C93" t="inlineStr" s="0">
        <is>
          <t xml:space="preserve">36-45</t>
        </is>
      </c>
      <c r="D93" t="inlineStr" s="0">
        <is>
          <t xml:space="preserve">Up to Higher Secondary</t>
        </is>
      </c>
      <c r="E93" t="inlineStr" s="0">
        <is>
          <t xml:space="preserve">Business/Self-employed</t>
        </is>
      </c>
      <c r="F93" t="inlineStr" s="0">
        <is>
          <t xml:space="preserve">50,001-75,000</t>
        </is>
      </c>
      <c r="G93" t="inlineStr" s="0">
        <is>
          <t xml:space="preserve">Yes</t>
        </is>
      </c>
      <c r="H93" t="inlineStr" s="0">
        <is>
          <t xml:space="preserve">Family Security/Protection</t>
        </is>
      </c>
      <c r="I93" t="inlineStr" s="0">
        <is>
          <t xml:space="preserve">LIC</t>
        </is>
      </c>
      <c r="J93" t="inlineStr" s="0">
        <is>
          <t xml:space="preserve">ULIP</t>
        </is>
      </c>
      <c r="K93" t="inlineStr" s="0">
        <is>
          <t xml:space="preserve">Safety/Security</t>
        </is>
      </c>
      <c r="L93" t="inlineStr" s="0">
        <is>
          <t xml:space="preserve">Insurance Agents</t>
        </is>
      </c>
      <c r="M93" t="inlineStr" s="0">
        <is>
          <t xml:space="preserve">Moderately aware</t>
        </is>
      </c>
      <c r="N93" t="inlineStr" s="0">
        <is>
          <t xml:space="preserve">10,000-25,000</t>
        </is>
      </c>
      <c r="O93" t="inlineStr" s="0">
        <is>
          <t xml:space="preserve">Satisfied</t>
        </is>
      </c>
      <c r="P93" t="inlineStr" s="0">
        <is>
          <t xml:space="preserve">Yes</t>
        </is>
      </c>
    </row>
    <row r="94">
      <c r="A94" s="0">
        <v>93</v>
      </c>
      <c r="B94" t="inlineStr" s="0">
        <is>
          <t xml:space="preserve">Male</t>
        </is>
      </c>
      <c r="C94" t="inlineStr" s="0">
        <is>
          <t xml:space="preserve">36-45</t>
        </is>
      </c>
      <c r="D94" t="inlineStr" s="0">
        <is>
          <t xml:space="preserve">Post Graduate</t>
        </is>
      </c>
      <c r="E94" t="inlineStr" s="0">
        <is>
          <t xml:space="preserve">Business/Self-employed</t>
        </is>
      </c>
      <c r="F94" t="inlineStr" s="0">
        <is>
          <t xml:space="preserve">Below 25,000</t>
        </is>
      </c>
      <c r="G94" t="inlineStr" s="0">
        <is>
          <t xml:space="preserve">Yes</t>
        </is>
      </c>
      <c r="H94" t="inlineStr" s="0">
        <is>
          <t xml:space="preserve">Family Security/Protection</t>
        </is>
      </c>
      <c r="I94" t="inlineStr" s="0">
        <is>
          <t xml:space="preserve">SBI Life</t>
        </is>
      </c>
      <c r="J94" t="inlineStr" s="0">
        <is>
          <t xml:space="preserve">Pension/Retirement Plan</t>
        </is>
      </c>
      <c r="K94" t="inlineStr" s="0">
        <is>
          <t xml:space="preserve">Tax Benefits</t>
        </is>
      </c>
      <c r="L94" t="inlineStr" s="0">
        <is>
          <t xml:space="preserve">Insurance Agents</t>
        </is>
      </c>
      <c r="M94" t="inlineStr" s="0">
        <is>
          <t xml:space="preserve">Fully aware</t>
        </is>
      </c>
      <c r="N94" t="inlineStr" s="0">
        <is>
          <t xml:space="preserve">10,000-25,000</t>
        </is>
      </c>
      <c r="O94" t="inlineStr" s="0">
        <is>
          <t xml:space="preserve">Satisfied</t>
        </is>
      </c>
      <c r="P94" t="inlineStr" s="0">
        <is>
          <t xml:space="preserve">Yes</t>
        </is>
      </c>
    </row>
    <row r="95">
      <c r="A95" s="0">
        <v>94</v>
      </c>
      <c r="B95" t="inlineStr" s="0">
        <is>
          <t xml:space="preserve">Female</t>
        </is>
      </c>
      <c r="C95" t="inlineStr" s="0">
        <is>
          <t xml:space="preserve">36-45</t>
        </is>
      </c>
      <c r="D95" t="inlineStr" s="0">
        <is>
          <t xml:space="preserve">Post Graduate</t>
        </is>
      </c>
      <c r="E95" t="inlineStr" s="0">
        <is>
          <t xml:space="preserve">Private Employee</t>
        </is>
      </c>
      <c r="F95" t="inlineStr" s="0">
        <is>
          <t xml:space="preserve">25,000-50,000</t>
        </is>
      </c>
      <c r="G95" t="inlineStr" s="0">
        <is>
          <t xml:space="preserve">Yes</t>
        </is>
      </c>
      <c r="H95" t="inlineStr" s="0">
        <is>
          <t xml:space="preserve">Tax Benefits</t>
        </is>
      </c>
      <c r="I95" t="inlineStr" s="0">
        <is>
          <t xml:space="preserve">SBI Life</t>
        </is>
      </c>
      <c r="J95" t="inlineStr" s="0">
        <is>
          <t xml:space="preserve">Pension/Retirement Plan</t>
        </is>
      </c>
      <c r="K95" t="inlineStr" s="0">
        <is>
          <t xml:space="preserve">Liquidity</t>
        </is>
      </c>
      <c r="L95" t="inlineStr" s="0">
        <is>
          <t xml:space="preserve">Insurance Agents</t>
        </is>
      </c>
      <c r="M95" t="inlineStr" s="0">
        <is>
          <t xml:space="preserve">Fully aware</t>
        </is>
      </c>
      <c r="N95" t="inlineStr" s="0">
        <is>
          <t xml:space="preserve">Below 10,000</t>
        </is>
      </c>
      <c r="O95" t="inlineStr" s="0">
        <is>
          <t xml:space="preserve">Highly satisfied</t>
        </is>
      </c>
      <c r="P95" t="inlineStr" s="0">
        <is>
          <t xml:space="preserve">Yes</t>
        </is>
      </c>
    </row>
    <row r="96">
      <c r="A96" s="0">
        <v>95</v>
      </c>
      <c r="B96" t="inlineStr" s="0">
        <is>
          <t xml:space="preserve">Male</t>
        </is>
      </c>
      <c r="C96" t="inlineStr" s="0">
        <is>
          <t xml:space="preserve">25-35</t>
        </is>
      </c>
      <c r="D96" t="inlineStr" s="0">
        <is>
          <t xml:space="preserve">Graduate</t>
        </is>
      </c>
      <c r="E96" t="inlineStr" s="0">
        <is>
          <t xml:space="preserve">Private Employee</t>
        </is>
      </c>
      <c r="F96" t="inlineStr" s="0">
        <is>
          <t xml:space="preserve">25,000-50,000</t>
        </is>
      </c>
      <c r="G96" t="inlineStr" s="0">
        <is>
          <t xml:space="preserve">Yes</t>
        </is>
      </c>
      <c r="H96" t="inlineStr" s="0">
        <is>
          <t xml:space="preserve">Family Security/Protection</t>
        </is>
      </c>
      <c r="I96" t="inlineStr" s="0">
        <is>
          <t xml:space="preserve">LIC</t>
        </is>
      </c>
      <c r="J96" t="inlineStr" s="0">
        <is>
          <t xml:space="preserve">Term Insurance</t>
        </is>
      </c>
      <c r="K96" t="inlineStr" s="0">
        <is>
          <t xml:space="preserve">Tax Benefits</t>
        </is>
      </c>
      <c r="L96" t="inlineStr" s="0">
        <is>
          <t xml:space="preserve">Friends &amp; Relatives</t>
        </is>
      </c>
      <c r="M96" t="inlineStr" s="0">
        <is>
          <t xml:space="preserve">Fully aware</t>
        </is>
      </c>
      <c r="N96" t="inlineStr" s="0">
        <is>
          <t xml:space="preserve">10,000-25,000</t>
        </is>
      </c>
      <c r="O96" t="inlineStr" s="0">
        <is>
          <t xml:space="preserve">Satisfied</t>
        </is>
      </c>
      <c r="P96" t="inlineStr" s="0">
        <is>
          <t xml:space="preserve">Yes</t>
        </is>
      </c>
    </row>
    <row r="97">
      <c r="A97" s="0">
        <v>96</v>
      </c>
      <c r="B97" t="inlineStr" s="0">
        <is>
          <t xml:space="preserve">Male</t>
        </is>
      </c>
      <c r="C97" t="inlineStr" s="0">
        <is>
          <t xml:space="preserve">36-45</t>
        </is>
      </c>
      <c r="D97" t="inlineStr" s="0">
        <is>
          <t xml:space="preserve">Graduate</t>
        </is>
      </c>
      <c r="E97" t="inlineStr" s="0">
        <is>
          <t xml:space="preserve">Private Employee</t>
        </is>
      </c>
      <c r="F97" t="inlineStr" s="0">
        <is>
          <t xml:space="preserve">50,001-75,000</t>
        </is>
      </c>
      <c r="G97" t="inlineStr" s="0">
        <is>
          <t xml:space="preserve">Yes</t>
        </is>
      </c>
      <c r="H97" t="inlineStr" s="0">
        <is>
          <t xml:space="preserve">Family Security/Protection</t>
        </is>
      </c>
      <c r="I97" t="inlineStr" s="0">
        <is>
          <t xml:space="preserve">LIC</t>
        </is>
      </c>
      <c r="J97" t="inlineStr" s="0">
        <is>
          <t xml:space="preserve">Term Insurance</t>
        </is>
      </c>
      <c r="K97" t="inlineStr" s="0">
        <is>
          <t xml:space="preserve">Company Reputation</t>
        </is>
      </c>
      <c r="L97" t="inlineStr" s="0">
        <is>
          <t xml:space="preserve">Internet/Social Media</t>
        </is>
      </c>
      <c r="M97" t="inlineStr" s="0">
        <is>
          <t xml:space="preserve">Moderately aware</t>
        </is>
      </c>
      <c r="N97" t="inlineStr" s="0">
        <is>
          <t xml:space="preserve">Below 10,000</t>
        </is>
      </c>
      <c r="O97" t="inlineStr" s="0">
        <is>
          <t xml:space="preserve">Satisfied</t>
        </is>
      </c>
      <c r="P97" t="inlineStr" s="0">
        <is>
          <t xml:space="preserve">Yes</t>
        </is>
      </c>
    </row>
    <row r="98">
      <c r="A98" s="0">
        <v>97</v>
      </c>
      <c r="B98" t="inlineStr" s="0">
        <is>
          <t xml:space="preserve">Female</t>
        </is>
      </c>
      <c r="C98" t="inlineStr" s="0">
        <is>
          <t xml:space="preserve">36-45</t>
        </is>
      </c>
      <c r="D98" t="inlineStr" s="0">
        <is>
          <t xml:space="preserve">Professional/Others</t>
        </is>
      </c>
      <c r="E98" t="inlineStr" s="0">
        <is>
          <t xml:space="preserve">Private Employee</t>
        </is>
      </c>
      <c r="F98" t="inlineStr" s="0">
        <is>
          <t xml:space="preserve">Below 25,000</t>
        </is>
      </c>
      <c r="G98" t="inlineStr" s="0">
        <is>
          <t xml:space="preserve">Yes</t>
        </is>
      </c>
      <c r="H98" t="inlineStr" s="0">
        <is>
          <t xml:space="preserve">Family Security/Protection</t>
        </is>
      </c>
      <c r="I98" t="inlineStr" s="0">
        <is>
          <t xml:space="preserve">LIC</t>
        </is>
      </c>
      <c r="J98" t="inlineStr" s="0">
        <is>
          <t xml:space="preserve">Money-Back Plan</t>
        </is>
      </c>
      <c r="K98" t="inlineStr" s="0">
        <is>
          <t xml:space="preserve">Returns/Bonus</t>
        </is>
      </c>
      <c r="L98" t="inlineStr" s="0">
        <is>
          <t xml:space="preserve">Advertisements</t>
        </is>
      </c>
      <c r="M98" t="inlineStr" s="0">
        <is>
          <t xml:space="preserve">Moderately aware</t>
        </is>
      </c>
      <c r="N98" t="inlineStr" s="0">
        <is>
          <t xml:space="preserve">10,000-25,000</t>
        </is>
      </c>
      <c r="O98" t="inlineStr" s="0">
        <is>
          <t xml:space="preserve">Satisfied</t>
        </is>
      </c>
      <c r="P98" t="inlineStr" s="0">
        <is>
          <t xml:space="preserve">Yes</t>
        </is>
      </c>
    </row>
    <row r="99">
      <c r="A99" s="0">
        <v>98</v>
      </c>
      <c r="B99" t="inlineStr" s="0">
        <is>
          <t xml:space="preserve">Female</t>
        </is>
      </c>
      <c r="C99" t="inlineStr" s="0">
        <is>
          <t xml:space="preserve">46-55</t>
        </is>
      </c>
      <c r="D99" t="inlineStr" s="0">
        <is>
          <t xml:space="preserve">Graduate</t>
        </is>
      </c>
      <c r="E99" t="inlineStr" s="0">
        <is>
          <t xml:space="preserve">Government Employee</t>
        </is>
      </c>
      <c r="F99" t="inlineStr" s="0">
        <is>
          <t xml:space="preserve">25,000-50,000</t>
        </is>
      </c>
      <c r="G99" t="inlineStr" s="0">
        <is>
          <t xml:space="preserve">Yes</t>
        </is>
      </c>
      <c r="H99" t="inlineStr" s="0">
        <is>
          <t xml:space="preserve">Child's Future</t>
        </is>
      </c>
      <c r="I99" t="inlineStr" s="0">
        <is>
          <t xml:space="preserve">SBI Life</t>
        </is>
      </c>
      <c r="J99" t="inlineStr" s="0">
        <is>
          <t xml:space="preserve">Pension/Retirement Plan</t>
        </is>
      </c>
      <c r="K99" t="inlineStr" s="0">
        <is>
          <t xml:space="preserve">Liquidity</t>
        </is>
      </c>
      <c r="L99" t="inlineStr" s="0">
        <is>
          <t xml:space="preserve">Insurance Agents</t>
        </is>
      </c>
      <c r="M99" t="inlineStr" s="0">
        <is>
          <t xml:space="preserve">Fully aware</t>
        </is>
      </c>
      <c r="N99" t="inlineStr" s="0">
        <is>
          <t xml:space="preserve">Below 10,000</t>
        </is>
      </c>
      <c r="O99" t="inlineStr" s="0">
        <is>
          <t xml:space="preserve">Satisfied</t>
        </is>
      </c>
      <c r="P99" t="inlineStr" s="0">
        <is>
          <t xml:space="preserve">Yes</t>
        </is>
      </c>
    </row>
    <row r="100">
      <c r="A100" s="0">
        <v>99</v>
      </c>
      <c r="B100" t="inlineStr" s="0">
        <is>
          <t xml:space="preserve">Male</t>
        </is>
      </c>
      <c r="C100" t="inlineStr" s="0">
        <is>
          <t xml:space="preserve">25-35</t>
        </is>
      </c>
      <c r="D100" t="inlineStr" s="0">
        <is>
          <t xml:space="preserve">Graduate</t>
        </is>
      </c>
      <c r="E100" t="inlineStr" s="0">
        <is>
          <t xml:space="preserve">Business/Self-employed</t>
        </is>
      </c>
      <c r="F100" t="inlineStr" s="0">
        <is>
          <t xml:space="preserve">Above 75,000</t>
        </is>
      </c>
      <c r="G100" t="inlineStr" s="0">
        <is>
          <t xml:space="preserve">Yes</t>
        </is>
      </c>
      <c r="H100" t="inlineStr" s="0">
        <is>
          <t xml:space="preserve">Family Security/Protection</t>
        </is>
      </c>
      <c r="I100" t="inlineStr" s="0">
        <is>
          <t xml:space="preserve">LIC</t>
        </is>
      </c>
      <c r="J100" t="inlineStr" s="0">
        <is>
          <t xml:space="preserve">Endowment Plan</t>
        </is>
      </c>
      <c r="K100" t="inlineStr" s="0">
        <is>
          <t xml:space="preserve">Safety/Security</t>
        </is>
      </c>
      <c r="L100" t="inlineStr" s="0">
        <is>
          <t xml:space="preserve">Insurance Agents</t>
        </is>
      </c>
      <c r="M100" t="inlineStr" s="0">
        <is>
          <t xml:space="preserve">Not aware</t>
        </is>
      </c>
      <c r="N100" t="inlineStr" s="0">
        <is>
          <t xml:space="preserve">Above 50,000</t>
        </is>
      </c>
      <c r="O100" t="inlineStr" s="0">
        <is>
          <t xml:space="preserve">Satisfied</t>
        </is>
      </c>
      <c r="P100" t="inlineStr" s="0">
        <is>
          <t xml:space="preserve">Yes</t>
        </is>
      </c>
    </row>
    <row r="101">
      <c r="A101" s="0">
        <v>100</v>
      </c>
      <c r="B101" t="inlineStr" s="0">
        <is>
          <t xml:space="preserve">Female</t>
        </is>
      </c>
      <c r="C101" t="inlineStr" s="0">
        <is>
          <t xml:space="preserve">25-35</t>
        </is>
      </c>
      <c r="D101" t="inlineStr" s="0">
        <is>
          <t xml:space="preserve">Graduate</t>
        </is>
      </c>
      <c r="E101" t="inlineStr" s="0">
        <is>
          <t xml:space="preserve">Private Employee</t>
        </is>
      </c>
      <c r="F101" t="inlineStr" s="0">
        <is>
          <t xml:space="preserve">50,001-75,000</t>
        </is>
      </c>
      <c r="G101" t="inlineStr" s="0">
        <is>
          <t xml:space="preserve">No</t>
        </is>
      </c>
      <c r="H101" t="inlineStr" s="0">
        <is>
          <t xml:space="preserve">Family Security/Protection</t>
        </is>
      </c>
      <c r="I101" t="inlineStr" s="0">
        <is>
          <t xml:space="preserve">ICICI Prudential</t>
        </is>
      </c>
      <c r="J101" t="inlineStr" s="0">
        <is>
          <t xml:space="preserve">Term Insurance</t>
        </is>
      </c>
      <c r="K101" t="inlineStr" s="0">
        <is>
          <t xml:space="preserve">Returns/Bonus</t>
        </is>
      </c>
      <c r="L101" t="inlineStr" s="0">
        <is>
          <t xml:space="preserve">Advertisements</t>
        </is>
      </c>
      <c r="M101" t="inlineStr" s="0">
        <is>
          <t xml:space="preserve">Moderately aware</t>
        </is>
      </c>
      <c r="N101" t="inlineStr" s="0">
        <is>
          <t xml:space="preserve">Below 10,000</t>
        </is>
      </c>
      <c r="O101" t="inlineStr" s="0">
        <is>
          <t xml:space="preserve">Satisfied</t>
        </is>
      </c>
      <c r="P101" t="inlineStr" s="0">
        <is>
          <t xml:space="preserve">No</t>
        </is>
      </c>
    </row>
  </sheetData>
</worksheet>
</file>

<file path=xl/worksheets/sheet3.xml><?xml version="1.0" encoding="utf-8"?>
<worksheet xmlns="http://schemas.openxmlformats.org/spreadsheetml/2006/main">
  <cols>
    <col min="1" max="1" width="30" customWidth="1"/>
    <col min="2" max="2" width="20" customWidth="1"/>
    <col min="3" max="3" width="14" customWidth="1"/>
  </cols>
  <sheetData>
    <row r="1">
      <c r="A1" t="inlineStr" s="3">
        <is>
          <t>DATA ANALYSIS - FREQUENCY TABLES</t>
        </is>
      </c>
    </row>
    <row r="3">
      <c r="A3" t="inlineStr" s="4">
        <is>
          <t>Gender</t>
        </is>
      </c>
    </row>
    <row r="4">
      <c r="A4" t="inlineStr" s="1">
        <is>
          <t>Response</t>
        </is>
      </c>
      <c r="B4" t="inlineStr" s="1">
        <is>
          <t>No. of Respondents</t>
        </is>
      </c>
      <c r="C4" t="inlineStr" s="1">
        <is>
          <t>Percentage</t>
        </is>
      </c>
    </row>
    <row r="5">
      <c r="A5" t="inlineStr" s="0">
        <is>
          <t xml:space="preserve">Male</t>
        </is>
      </c>
      <c r="B5" s="0">
        <f>COUNTIF(RawData!$B$2:$B$101,"Male")</f>
        <v>58</v>
      </c>
      <c r="C5" s="5">
        <f>B5/100</f>
        <v>0.58</v>
      </c>
    </row>
    <row r="6">
      <c r="A6" t="inlineStr" s="0">
        <is>
          <t xml:space="preserve">Female</t>
        </is>
      </c>
      <c r="B6" s="0">
        <f>COUNTIF(RawData!$B$2:$B$101,"Female")</f>
        <v>42</v>
      </c>
      <c r="C6" s="5">
        <f>B6/100</f>
        <v>0.42</v>
      </c>
    </row>
    <row r="7">
      <c r="A7" t="inlineStr" s="1">
        <is>
          <t xml:space="preserve">Total</t>
        </is>
      </c>
      <c r="B7" s="1">
        <f>SUM(B5:B6)</f>
        <v>100</v>
      </c>
      <c r="C7" s="6">
        <f>SUM(C5:C6)</f>
        <v>1.0</v>
      </c>
    </row>
    <row r="9">
      <c r="A9" t="inlineStr" s="4">
        <is>
          <t>Age Group</t>
        </is>
      </c>
    </row>
    <row r="10">
      <c r="A10" t="inlineStr" s="1">
        <is>
          <t>Response</t>
        </is>
      </c>
      <c r="B10" t="inlineStr" s="1">
        <is>
          <t>No. of Respondents</t>
        </is>
      </c>
      <c r="C10" t="inlineStr" s="1">
        <is>
          <t>Percentage</t>
        </is>
      </c>
    </row>
    <row r="11">
      <c r="A11" t="inlineStr" s="0">
        <is>
          <t xml:space="preserve">Below 25</t>
        </is>
      </c>
      <c r="B11" s="0">
        <f>COUNTIF(RawData!$C$2:$C$101,"Below 25")</f>
        <v>18</v>
      </c>
      <c r="C11" s="5">
        <f>B11/100</f>
        <v>0.18</v>
      </c>
    </row>
    <row r="12">
      <c r="A12" t="inlineStr" s="0">
        <is>
          <t xml:space="preserve">25-35</t>
        </is>
      </c>
      <c r="B12" s="0">
        <f>COUNTIF(RawData!$C$2:$C$101,"25-35")</f>
        <v>34</v>
      </c>
      <c r="C12" s="5">
        <f>B12/100</f>
        <v>0.34</v>
      </c>
    </row>
    <row r="13">
      <c r="A13" t="inlineStr" s="0">
        <is>
          <t xml:space="preserve">36-45</t>
        </is>
      </c>
      <c r="B13" s="0">
        <f>COUNTIF(RawData!$C$2:$C$101,"36-45")</f>
        <v>28</v>
      </c>
      <c r="C13" s="5">
        <f>B13/100</f>
        <v>0.28</v>
      </c>
    </row>
    <row r="14">
      <c r="A14" t="inlineStr" s="0">
        <is>
          <t xml:space="preserve">46-55</t>
        </is>
      </c>
      <c r="B14" s="0">
        <f>COUNTIF(RawData!$C$2:$C$101,"46-55")</f>
        <v>14</v>
      </c>
      <c r="C14" s="5">
        <f>B14/100</f>
        <v>0.14</v>
      </c>
    </row>
    <row r="15">
      <c r="A15" t="inlineStr" s="0">
        <is>
          <t xml:space="preserve">Above 55</t>
        </is>
      </c>
      <c r="B15" s="0">
        <f>COUNTIF(RawData!$C$2:$C$101,"Above 55")</f>
        <v>6</v>
      </c>
      <c r="C15" s="5">
        <f>B15/100</f>
        <v>0.06</v>
      </c>
    </row>
    <row r="16">
      <c r="A16" t="inlineStr" s="1">
        <is>
          <t xml:space="preserve">Total</t>
        </is>
      </c>
      <c r="B16" s="1">
        <f>SUM(B11:B15)</f>
        <v>100</v>
      </c>
      <c r="C16" s="6">
        <f>SUM(C11:C15)</f>
        <v>1.0</v>
      </c>
    </row>
    <row r="18">
      <c r="A18" t="inlineStr" s="4">
        <is>
          <t>Education</t>
        </is>
      </c>
    </row>
    <row r="19">
      <c r="A19" t="inlineStr" s="1">
        <is>
          <t>Response</t>
        </is>
      </c>
      <c r="B19" t="inlineStr" s="1">
        <is>
          <t>No. of Respondents</t>
        </is>
      </c>
      <c r="C19" t="inlineStr" s="1">
        <is>
          <t>Percentage</t>
        </is>
      </c>
    </row>
    <row r="20">
      <c r="A20" t="inlineStr" s="0">
        <is>
          <t xml:space="preserve">Up to Higher Secondary</t>
        </is>
      </c>
      <c r="B20" s="0">
        <f>COUNTIF(RawData!$D$2:$D$101,"Up to Higher Secondary")</f>
        <v>12</v>
      </c>
      <c r="C20" s="5">
        <f>B20/100</f>
        <v>0.12</v>
      </c>
    </row>
    <row r="21">
      <c r="A21" t="inlineStr" s="0">
        <is>
          <t xml:space="preserve">Graduate</t>
        </is>
      </c>
      <c r="B21" s="0">
        <f>COUNTIF(RawData!$D$2:$D$101,"Graduate")</f>
        <v>46</v>
      </c>
      <c r="C21" s="5">
        <f>B21/100</f>
        <v>0.46</v>
      </c>
    </row>
    <row r="22">
      <c r="A22" t="inlineStr" s="0">
        <is>
          <t xml:space="preserve">Post Graduate</t>
        </is>
      </c>
      <c r="B22" s="0">
        <f>COUNTIF(RawData!$D$2:$D$101,"Post Graduate")</f>
        <v>32</v>
      </c>
      <c r="C22" s="5">
        <f>B22/100</f>
        <v>0.32</v>
      </c>
    </row>
    <row r="23">
      <c r="A23" t="inlineStr" s="0">
        <is>
          <t xml:space="preserve">Professional/Others</t>
        </is>
      </c>
      <c r="B23" s="0">
        <f>COUNTIF(RawData!$D$2:$D$101,"Professional/Others")</f>
        <v>10</v>
      </c>
      <c r="C23" s="5">
        <f>B23/100</f>
        <v>0.1</v>
      </c>
    </row>
    <row r="24">
      <c r="A24" t="inlineStr" s="1">
        <is>
          <t xml:space="preserve">Total</t>
        </is>
      </c>
      <c r="B24" s="1">
        <f>SUM(B20:B23)</f>
        <v>100</v>
      </c>
      <c r="C24" s="6">
        <f>SUM(C20:C23)</f>
        <v>1.0</v>
      </c>
    </row>
    <row r="26">
      <c r="A26" t="inlineStr" s="4">
        <is>
          <t>Occupation</t>
        </is>
      </c>
    </row>
    <row r="27">
      <c r="A27" t="inlineStr" s="1">
        <is>
          <t>Response</t>
        </is>
      </c>
      <c r="B27" t="inlineStr" s="1">
        <is>
          <t>No. of Respondents</t>
        </is>
      </c>
      <c r="C27" t="inlineStr" s="1">
        <is>
          <t>Percentage</t>
        </is>
      </c>
    </row>
    <row r="28">
      <c r="A28" t="inlineStr" s="0">
        <is>
          <t xml:space="preserve">Government Employee</t>
        </is>
      </c>
      <c r="B28" s="0">
        <f>COUNTIF(RawData!$E$2:$E$101,"Government Employee")</f>
        <v>20</v>
      </c>
      <c r="C28" s="5">
        <f>B28/100</f>
        <v>0.2</v>
      </c>
    </row>
    <row r="29">
      <c r="A29" t="inlineStr" s="0">
        <is>
          <t xml:space="preserve">Private Employee</t>
        </is>
      </c>
      <c r="B29" s="0">
        <f>COUNTIF(RawData!$E$2:$E$101,"Private Employee")</f>
        <v>38</v>
      </c>
      <c r="C29" s="5">
        <f>B29/100</f>
        <v>0.38</v>
      </c>
    </row>
    <row r="30">
      <c r="A30" t="inlineStr" s="0">
        <is>
          <t xml:space="preserve">Business/Self-employed</t>
        </is>
      </c>
      <c r="B30" s="0">
        <f>COUNTIF(RawData!$E$2:$E$101,"Business/Self-employed")</f>
        <v>24</v>
      </c>
      <c r="C30" s="5">
        <f>B30/100</f>
        <v>0.24</v>
      </c>
    </row>
    <row r="31">
      <c r="A31" t="inlineStr" s="0">
        <is>
          <t xml:space="preserve">Professional</t>
        </is>
      </c>
      <c r="B31" s="0">
        <f>COUNTIF(RawData!$E$2:$E$101,"Professional")</f>
        <v>10</v>
      </c>
      <c r="C31" s="5">
        <f>B31/100</f>
        <v>0.1</v>
      </c>
    </row>
    <row r="32">
      <c r="A32" t="inlineStr" s="0">
        <is>
          <t xml:space="preserve">Student/Others</t>
        </is>
      </c>
      <c r="B32" s="0">
        <f>COUNTIF(RawData!$E$2:$E$101,"Student/Others")</f>
        <v>8</v>
      </c>
      <c r="C32" s="5">
        <f>B32/100</f>
        <v>0.08</v>
      </c>
    </row>
    <row r="33">
      <c r="A33" t="inlineStr" s="1">
        <is>
          <t xml:space="preserve">Total</t>
        </is>
      </c>
      <c r="B33" s="1">
        <f>SUM(B28:B32)</f>
        <v>100</v>
      </c>
      <c r="C33" s="6">
        <f>SUM(C28:C32)</f>
        <v>1.0</v>
      </c>
    </row>
    <row r="35">
      <c r="A35" t="inlineStr" s="4">
        <is>
          <t>Monthly Income</t>
        </is>
      </c>
    </row>
    <row r="36">
      <c r="A36" t="inlineStr" s="1">
        <is>
          <t>Response</t>
        </is>
      </c>
      <c r="B36" t="inlineStr" s="1">
        <is>
          <t>No. of Respondents</t>
        </is>
      </c>
      <c r="C36" t="inlineStr" s="1">
        <is>
          <t>Percentage</t>
        </is>
      </c>
    </row>
    <row r="37">
      <c r="A37" t="inlineStr" s="0">
        <is>
          <t xml:space="preserve">Below 25,000</t>
        </is>
      </c>
      <c r="B37" s="0">
        <f>COUNTIF(RawData!$F$2:$F$101,"Below 25,000")</f>
        <v>22</v>
      </c>
      <c r="C37" s="5">
        <f>B37/100</f>
        <v>0.22</v>
      </c>
    </row>
    <row r="38">
      <c r="A38" t="inlineStr" s="0">
        <is>
          <t xml:space="preserve">25,000-50,000</t>
        </is>
      </c>
      <c r="B38" s="0">
        <f>COUNTIF(RawData!$F$2:$F$101,"25,000-50,000")</f>
        <v>40</v>
      </c>
      <c r="C38" s="5">
        <f>B38/100</f>
        <v>0.4</v>
      </c>
    </row>
    <row r="39">
      <c r="A39" t="inlineStr" s="0">
        <is>
          <t xml:space="preserve">50,001-75,000</t>
        </is>
      </c>
      <c r="B39" s="0">
        <f>COUNTIF(RawData!$F$2:$F$101,"50,001-75,000")</f>
        <v>24</v>
      </c>
      <c r="C39" s="5">
        <f>B39/100</f>
        <v>0.24</v>
      </c>
    </row>
    <row r="40">
      <c r="A40" t="inlineStr" s="0">
        <is>
          <t xml:space="preserve">Above 75,000</t>
        </is>
      </c>
      <c r="B40" s="0">
        <f>COUNTIF(RawData!$F$2:$F$101,"Above 75,000")</f>
        <v>14</v>
      </c>
      <c r="C40" s="5">
        <f>B40/100</f>
        <v>0.14</v>
      </c>
    </row>
    <row r="41">
      <c r="A41" t="inlineStr" s="1">
        <is>
          <t xml:space="preserve">Total</t>
        </is>
      </c>
      <c r="B41" s="1">
        <f>SUM(B37:B40)</f>
        <v>100</v>
      </c>
      <c r="C41" s="6">
        <f>SUM(C37:C40)</f>
        <v>1.0</v>
      </c>
    </row>
    <row r="43">
      <c r="A43" t="inlineStr" s="4">
        <is>
          <t>Has Policy</t>
        </is>
      </c>
    </row>
    <row r="44">
      <c r="A44" t="inlineStr" s="1">
        <is>
          <t>Response</t>
        </is>
      </c>
      <c r="B44" t="inlineStr" s="1">
        <is>
          <t>No. of Respondents</t>
        </is>
      </c>
      <c r="C44" t="inlineStr" s="1">
        <is>
          <t>Percentage</t>
        </is>
      </c>
    </row>
    <row r="45">
      <c r="A45" t="inlineStr" s="0">
        <is>
          <t xml:space="preserve">Yes</t>
        </is>
      </c>
      <c r="B45" s="0">
        <f>COUNTIF(RawData!$G$2:$G$101,"Yes")</f>
        <v>84</v>
      </c>
      <c r="C45" s="5">
        <f>B45/100</f>
        <v>0.84</v>
      </c>
    </row>
    <row r="46">
      <c r="A46" t="inlineStr" s="0">
        <is>
          <t xml:space="preserve">No</t>
        </is>
      </c>
      <c r="B46" s="0">
        <f>COUNTIF(RawData!$G$2:$G$101,"No")</f>
        <v>16</v>
      </c>
      <c r="C46" s="5">
        <f>B46/100</f>
        <v>0.16</v>
      </c>
    </row>
    <row r="47">
      <c r="A47" t="inlineStr" s="1">
        <is>
          <t xml:space="preserve">Total</t>
        </is>
      </c>
      <c r="B47" s="1">
        <f>SUM(B45:B46)</f>
        <v>100</v>
      </c>
      <c r="C47" s="6">
        <f>SUM(C45:C46)</f>
        <v>1.0</v>
      </c>
    </row>
    <row r="49">
      <c r="A49" t="inlineStr" s="4">
        <is>
          <t>Purpose of Investment</t>
        </is>
      </c>
    </row>
    <row r="50">
      <c r="A50" t="inlineStr" s="1">
        <is>
          <t>Response</t>
        </is>
      </c>
      <c r="B50" t="inlineStr" s="1">
        <is>
          <t>No. of Respondents</t>
        </is>
      </c>
      <c r="C50" t="inlineStr" s="1">
        <is>
          <t>Percentage</t>
        </is>
      </c>
    </row>
    <row r="51">
      <c r="A51" t="inlineStr" s="0">
        <is>
          <t xml:space="preserve">Family Security/Protection</t>
        </is>
      </c>
      <c r="B51" s="0">
        <f>COUNTIF(RawData!$H$2:$H$101,"Family Security/Protection")</f>
        <v>36</v>
      </c>
      <c r="C51" s="5">
        <f>B51/100</f>
        <v>0.36</v>
      </c>
    </row>
    <row r="52">
      <c r="A52" t="inlineStr" s="0">
        <is>
          <t xml:space="preserve">Tax Benefits</t>
        </is>
      </c>
      <c r="B52" s="0">
        <f>COUNTIF(RawData!$H$2:$H$101,"Tax Benefits")</f>
        <v>24</v>
      </c>
      <c r="C52" s="5">
        <f>B52/100</f>
        <v>0.24</v>
      </c>
    </row>
    <row r="53">
      <c r="A53" t="inlineStr" s="0">
        <is>
          <t xml:space="preserve">Savings/Investment</t>
        </is>
      </c>
      <c r="B53" s="0">
        <f>COUNTIF(RawData!$H$2:$H$101,"Savings/Investment")</f>
        <v>22</v>
      </c>
      <c r="C53" s="5">
        <f>B53/100</f>
        <v>0.22</v>
      </c>
    </row>
    <row r="54">
      <c r="A54" t="inlineStr" s="0">
        <is>
          <t xml:space="preserve">Retirement Planning</t>
        </is>
      </c>
      <c r="B54" s="0">
        <f>COUNTIF(RawData!$H$2:$H$101,"Retirement Planning")</f>
        <v>12</v>
      </c>
      <c r="C54" s="5">
        <f>B54/100</f>
        <v>0.12</v>
      </c>
    </row>
    <row r="55">
      <c r="A55" t="inlineStr" s="0">
        <is>
          <t xml:space="preserve">Child's Future</t>
        </is>
      </c>
      <c r="B55" s="0">
        <f>COUNTIF(RawData!$H$2:$H$101,"Child's Future")</f>
        <v>6</v>
      </c>
      <c r="C55" s="5">
        <f>B55/100</f>
        <v>0.06</v>
      </c>
    </row>
    <row r="56">
      <c r="A56" t="inlineStr" s="1">
        <is>
          <t xml:space="preserve">Total</t>
        </is>
      </c>
      <c r="B56" s="1">
        <f>SUM(B51:B55)</f>
        <v>100</v>
      </c>
      <c r="C56" s="6">
        <f>SUM(C51:C55)</f>
        <v>1.0</v>
      </c>
    </row>
    <row r="58">
      <c r="A58" t="inlineStr" s="4">
        <is>
          <t>Preferred Company</t>
        </is>
      </c>
    </row>
    <row r="59">
      <c r="A59" t="inlineStr" s="1">
        <is>
          <t>Response</t>
        </is>
      </c>
      <c r="B59" t="inlineStr" s="1">
        <is>
          <t>No. of Respondents</t>
        </is>
      </c>
      <c r="C59" t="inlineStr" s="1">
        <is>
          <t>Percentage</t>
        </is>
      </c>
    </row>
    <row r="60">
      <c r="A60" t="inlineStr" s="0">
        <is>
          <t xml:space="preserve">LIC</t>
        </is>
      </c>
      <c r="B60" s="0">
        <f>COUNTIF(RawData!$I$2:$I$101,"LIC")</f>
        <v>54</v>
      </c>
      <c r="C60" s="5">
        <f>B60/100</f>
        <v>0.54</v>
      </c>
    </row>
    <row r="61">
      <c r="A61" t="inlineStr" s="0">
        <is>
          <t xml:space="preserve">HDFC Life</t>
        </is>
      </c>
      <c r="B61" s="0">
        <f>COUNTIF(RawData!$I$2:$I$101,"HDFC Life")</f>
        <v>12</v>
      </c>
      <c r="C61" s="5">
        <f>B61/100</f>
        <v>0.12</v>
      </c>
    </row>
    <row r="62">
      <c r="A62" t="inlineStr" s="0">
        <is>
          <t xml:space="preserve">ICICI Prudential</t>
        </is>
      </c>
      <c r="B62" s="0">
        <f>COUNTIF(RawData!$I$2:$I$101,"ICICI Prudential")</f>
        <v>10</v>
      </c>
      <c r="C62" s="5">
        <f>B62/100</f>
        <v>0.1</v>
      </c>
    </row>
    <row r="63">
      <c r="A63" t="inlineStr" s="0">
        <is>
          <t xml:space="preserve">SBI Life</t>
        </is>
      </c>
      <c r="B63" s="0">
        <f>COUNTIF(RawData!$I$2:$I$101,"SBI Life")</f>
        <v>14</v>
      </c>
      <c r="C63" s="5">
        <f>B63/100</f>
        <v>0.14</v>
      </c>
    </row>
    <row r="64">
      <c r="A64" t="inlineStr" s="0">
        <is>
          <t xml:space="preserve">Others (Private)</t>
        </is>
      </c>
      <c r="B64" s="0">
        <f>COUNTIF(RawData!$I$2:$I$101,"Others (Private)")</f>
        <v>10</v>
      </c>
      <c r="C64" s="5">
        <f>B64/100</f>
        <v>0.1</v>
      </c>
    </row>
    <row r="65">
      <c r="A65" t="inlineStr" s="1">
        <is>
          <t xml:space="preserve">Total</t>
        </is>
      </c>
      <c r="B65" s="1">
        <f>SUM(B60:B64)</f>
        <v>100</v>
      </c>
      <c r="C65" s="6">
        <f>SUM(C60:C64)</f>
        <v>1.0</v>
      </c>
    </row>
    <row r="67">
      <c r="A67" t="inlineStr" s="4">
        <is>
          <t>Preferred Plan</t>
        </is>
      </c>
    </row>
    <row r="68">
      <c r="A68" t="inlineStr" s="1">
        <is>
          <t>Response</t>
        </is>
      </c>
      <c r="B68" t="inlineStr" s="1">
        <is>
          <t>No. of Respondents</t>
        </is>
      </c>
      <c r="C68" t="inlineStr" s="1">
        <is>
          <t>Percentage</t>
        </is>
      </c>
    </row>
    <row r="69">
      <c r="A69" t="inlineStr" s="0">
        <is>
          <t xml:space="preserve">Endowment Plan</t>
        </is>
      </c>
      <c r="B69" s="0">
        <f>COUNTIF(RawData!$J$2:$J$101,"Endowment Plan")</f>
        <v>30</v>
      </c>
      <c r="C69" s="5">
        <f>B69/100</f>
        <v>0.3</v>
      </c>
    </row>
    <row r="70">
      <c r="A70" t="inlineStr" s="0">
        <is>
          <t xml:space="preserve">Term Insurance</t>
        </is>
      </c>
      <c r="B70" s="0">
        <f>COUNTIF(RawData!$J$2:$J$101,"Term Insurance")</f>
        <v>24</v>
      </c>
      <c r="C70" s="5">
        <f>B70/100</f>
        <v>0.24</v>
      </c>
    </row>
    <row r="71">
      <c r="A71" t="inlineStr" s="0">
        <is>
          <t xml:space="preserve">Money-Back Plan</t>
        </is>
      </c>
      <c r="B71" s="0">
        <f>COUNTIF(RawData!$J$2:$J$101,"Money-Back Plan")</f>
        <v>18</v>
      </c>
      <c r="C71" s="5">
        <f>B71/100</f>
        <v>0.18</v>
      </c>
    </row>
    <row r="72">
      <c r="A72" t="inlineStr" s="0">
        <is>
          <t xml:space="preserve">ULIP</t>
        </is>
      </c>
      <c r="B72" s="0">
        <f>COUNTIF(RawData!$J$2:$J$101,"ULIP")</f>
        <v>16</v>
      </c>
      <c r="C72" s="5">
        <f>B72/100</f>
        <v>0.16</v>
      </c>
    </row>
    <row r="73">
      <c r="A73" t="inlineStr" s="0">
        <is>
          <t xml:space="preserve">Pension/Retirement Plan</t>
        </is>
      </c>
      <c r="B73" s="0">
        <f>COUNTIF(RawData!$J$2:$J$101,"Pension/Retirement Plan")</f>
        <v>12</v>
      </c>
      <c r="C73" s="5">
        <f>B73/100</f>
        <v>0.12</v>
      </c>
    </row>
    <row r="74">
      <c r="A74" t="inlineStr" s="1">
        <is>
          <t xml:space="preserve">Total</t>
        </is>
      </c>
      <c r="B74" s="1">
        <f>SUM(B69:B73)</f>
        <v>100</v>
      </c>
      <c r="C74" s="6">
        <f>SUM(C69:C73)</f>
        <v>1.0</v>
      </c>
    </row>
    <row r="76">
      <c r="A76" t="inlineStr" s="4">
        <is>
          <t>Most Important Factor</t>
        </is>
      </c>
    </row>
    <row r="77">
      <c r="A77" t="inlineStr" s="1">
        <is>
          <t>Response</t>
        </is>
      </c>
      <c r="B77" t="inlineStr" s="1">
        <is>
          <t>No. of Respondents</t>
        </is>
      </c>
      <c r="C77" t="inlineStr" s="1">
        <is>
          <t>Percentage</t>
        </is>
      </c>
    </row>
    <row r="78">
      <c r="A78" t="inlineStr" s="0">
        <is>
          <t xml:space="preserve">Safety/Security</t>
        </is>
      </c>
      <c r="B78" s="0">
        <f>COUNTIF(RawData!$K$2:$K$101,"Safety/Security")</f>
        <v>30</v>
      </c>
      <c r="C78" s="5">
        <f>B78/100</f>
        <v>0.3</v>
      </c>
    </row>
    <row r="79">
      <c r="A79" t="inlineStr" s="0">
        <is>
          <t xml:space="preserve">Returns/Bonus</t>
        </is>
      </c>
      <c r="B79" s="0">
        <f>COUNTIF(RawData!$K$2:$K$101,"Returns/Bonus")</f>
        <v>22</v>
      </c>
      <c r="C79" s="5">
        <f>B79/100</f>
        <v>0.22</v>
      </c>
    </row>
    <row r="80">
      <c r="A80" t="inlineStr" s="0">
        <is>
          <t xml:space="preserve">Company Reputation</t>
        </is>
      </c>
      <c r="B80" s="0">
        <f>COUNTIF(RawData!$K$2:$K$101,"Company Reputation")</f>
        <v>20</v>
      </c>
      <c r="C80" s="5">
        <f>B80/100</f>
        <v>0.2</v>
      </c>
    </row>
    <row r="81">
      <c r="A81" t="inlineStr" s="0">
        <is>
          <t xml:space="preserve">Tax Benefits</t>
        </is>
      </c>
      <c r="B81" s="0">
        <f>COUNTIF(RawData!$K$2:$K$101,"Tax Benefits")</f>
        <v>16</v>
      </c>
      <c r="C81" s="5">
        <f>B81/100</f>
        <v>0.16</v>
      </c>
    </row>
    <row r="82">
      <c r="A82" t="inlineStr" s="0">
        <is>
          <t xml:space="preserve">Liquidity</t>
        </is>
      </c>
      <c r="B82" s="0">
        <f>COUNTIF(RawData!$K$2:$K$101,"Liquidity")</f>
        <v>12</v>
      </c>
      <c r="C82" s="5">
        <f>B82/100</f>
        <v>0.12</v>
      </c>
    </row>
    <row r="83">
      <c r="A83" t="inlineStr" s="1">
        <is>
          <t xml:space="preserve">Total</t>
        </is>
      </c>
      <c r="B83" s="1">
        <f>SUM(B78:B82)</f>
        <v>100</v>
      </c>
      <c r="C83" s="6">
        <f>SUM(C78:C82)</f>
        <v>1.0</v>
      </c>
    </row>
    <row r="85">
      <c r="A85" t="inlineStr" s="4">
        <is>
          <t>Source of Awareness</t>
        </is>
      </c>
    </row>
    <row r="86">
      <c r="A86" t="inlineStr" s="1">
        <is>
          <t>Response</t>
        </is>
      </c>
      <c r="B86" t="inlineStr" s="1">
        <is>
          <t>No. of Respondents</t>
        </is>
      </c>
      <c r="C86" t="inlineStr" s="1">
        <is>
          <t>Percentage</t>
        </is>
      </c>
    </row>
    <row r="87">
      <c r="A87" t="inlineStr" s="0">
        <is>
          <t xml:space="preserve">Insurance Agents</t>
        </is>
      </c>
      <c r="B87" s="0">
        <f>COUNTIF(RawData!$L$2:$L$101,"Insurance Agents")</f>
        <v>38</v>
      </c>
      <c r="C87" s="5">
        <f>B87/100</f>
        <v>0.38</v>
      </c>
    </row>
    <row r="88">
      <c r="A88" t="inlineStr" s="0">
        <is>
          <t xml:space="preserve">Friends &amp; Relatives</t>
        </is>
      </c>
      <c r="B88" s="0">
        <f>COUNTIF(RawData!$L$2:$L$101,"Friends &amp; Relatives")</f>
        <v>22</v>
      </c>
      <c r="C88" s="5">
        <f>B88/100</f>
        <v>0.22</v>
      </c>
    </row>
    <row r="89">
      <c r="A89" t="inlineStr" s="0">
        <is>
          <t xml:space="preserve">Advertisements</t>
        </is>
      </c>
      <c r="B89" s="0">
        <f>COUNTIF(RawData!$L$2:$L$101,"Advertisements")</f>
        <v>18</v>
      </c>
      <c r="C89" s="5">
        <f>B89/100</f>
        <v>0.18</v>
      </c>
    </row>
    <row r="90">
      <c r="A90" t="inlineStr" s="0">
        <is>
          <t xml:space="preserve">Internet/Social Media</t>
        </is>
      </c>
      <c r="B90" s="0">
        <f>COUNTIF(RawData!$L$2:$L$101,"Internet/Social Media")</f>
        <v>16</v>
      </c>
      <c r="C90" s="5">
        <f>B90/100</f>
        <v>0.16</v>
      </c>
    </row>
    <row r="91">
      <c r="A91" t="inlineStr" s="0">
        <is>
          <t xml:space="preserve">Bank/Bancassurance</t>
        </is>
      </c>
      <c r="B91" s="0">
        <f>COUNTIF(RawData!$L$2:$L$101,"Bank/Bancassurance")</f>
        <v>6</v>
      </c>
      <c r="C91" s="5">
        <f>B91/100</f>
        <v>0.06</v>
      </c>
    </row>
    <row r="92">
      <c r="A92" t="inlineStr" s="1">
        <is>
          <t xml:space="preserve">Total</t>
        </is>
      </c>
      <c r="B92" s="1">
        <f>SUM(B87:B91)</f>
        <v>100</v>
      </c>
      <c r="C92" s="6">
        <f>SUM(C87:C91)</f>
        <v>1.0</v>
      </c>
    </row>
    <row r="94">
      <c r="A94" t="inlineStr" s="4">
        <is>
          <t>Product Awareness Level</t>
        </is>
      </c>
    </row>
    <row r="95">
      <c r="A95" t="inlineStr" s="1">
        <is>
          <t>Response</t>
        </is>
      </c>
      <c r="B95" t="inlineStr" s="1">
        <is>
          <t>No. of Respondents</t>
        </is>
      </c>
      <c r="C95" t="inlineStr" s="1">
        <is>
          <t>Percentage</t>
        </is>
      </c>
    </row>
    <row r="96">
      <c r="A96" t="inlineStr" s="0">
        <is>
          <t xml:space="preserve">Fully aware</t>
        </is>
      </c>
      <c r="B96" s="0">
        <f>COUNTIF(RawData!$M$2:$M$101,"Fully aware")</f>
        <v>26</v>
      </c>
      <c r="C96" s="5">
        <f>B96/100</f>
        <v>0.26</v>
      </c>
    </row>
    <row r="97">
      <c r="A97" t="inlineStr" s="0">
        <is>
          <t xml:space="preserve">Moderately aware</t>
        </is>
      </c>
      <c r="B97" s="0">
        <f>COUNTIF(RawData!$M$2:$M$101,"Moderately aware")</f>
        <v>48</v>
      </c>
      <c r="C97" s="5">
        <f>B97/100</f>
        <v>0.48</v>
      </c>
    </row>
    <row r="98">
      <c r="A98" t="inlineStr" s="0">
        <is>
          <t xml:space="preserve">Not aware</t>
        </is>
      </c>
      <c r="B98" s="0">
        <f>COUNTIF(RawData!$M$2:$M$101,"Not aware")</f>
        <v>26</v>
      </c>
      <c r="C98" s="5">
        <f>B98/100</f>
        <v>0.26</v>
      </c>
    </row>
    <row r="99">
      <c r="A99" t="inlineStr" s="1">
        <is>
          <t xml:space="preserve">Total</t>
        </is>
      </c>
      <c r="B99" s="1">
        <f>SUM(B96:B98)</f>
        <v>100</v>
      </c>
      <c r="C99" s="6">
        <f>SUM(C96:C98)</f>
        <v>1.0</v>
      </c>
    </row>
    <row r="101">
      <c r="A101" t="inlineStr" s="4">
        <is>
          <t>Annual Premium</t>
        </is>
      </c>
    </row>
    <row r="102">
      <c r="A102" t="inlineStr" s="1">
        <is>
          <t>Response</t>
        </is>
      </c>
      <c r="B102" t="inlineStr" s="1">
        <is>
          <t>No. of Respondents</t>
        </is>
      </c>
      <c r="C102" t="inlineStr" s="1">
        <is>
          <t>Percentage</t>
        </is>
      </c>
    </row>
    <row r="103">
      <c r="A103" t="inlineStr" s="0">
        <is>
          <t xml:space="preserve">Below 10,000</t>
        </is>
      </c>
      <c r="B103" s="0">
        <f>COUNTIF(RawData!$N$2:$N$101,"Below 10,000")</f>
        <v>28</v>
      </c>
      <c r="C103" s="5">
        <f>B103/100</f>
        <v>0.28</v>
      </c>
    </row>
    <row r="104">
      <c r="A104" t="inlineStr" s="0">
        <is>
          <t xml:space="preserve">10,000-25,000</t>
        </is>
      </c>
      <c r="B104" s="0">
        <f>COUNTIF(RawData!$N$2:$N$101,"10,000-25,000")</f>
        <v>40</v>
      </c>
      <c r="C104" s="5">
        <f>B104/100</f>
        <v>0.4</v>
      </c>
    </row>
    <row r="105">
      <c r="A105" t="inlineStr" s="0">
        <is>
          <t xml:space="preserve">25,001-50,000</t>
        </is>
      </c>
      <c r="B105" s="0">
        <f>COUNTIF(RawData!$N$2:$N$101,"25,001-50,000")</f>
        <v>22</v>
      </c>
      <c r="C105" s="5">
        <f>B105/100</f>
        <v>0.22</v>
      </c>
    </row>
    <row r="106">
      <c r="A106" t="inlineStr" s="0">
        <is>
          <t xml:space="preserve">Above 50,000</t>
        </is>
      </c>
      <c r="B106" s="0">
        <f>COUNTIF(RawData!$N$2:$N$101,"Above 50,000")</f>
        <v>10</v>
      </c>
      <c r="C106" s="5">
        <f>B106/100</f>
        <v>0.1</v>
      </c>
    </row>
    <row r="107">
      <c r="A107" t="inlineStr" s="1">
        <is>
          <t xml:space="preserve">Total</t>
        </is>
      </c>
      <c r="B107" s="1">
        <f>SUM(B103:B106)</f>
        <v>100</v>
      </c>
      <c r="C107" s="6">
        <f>SUM(C103:C106)</f>
        <v>1.0</v>
      </c>
    </row>
    <row r="109">
      <c r="A109" t="inlineStr" s="4">
        <is>
          <t>Satisfaction Level</t>
        </is>
      </c>
    </row>
    <row r="110">
      <c r="A110" t="inlineStr" s="1">
        <is>
          <t>Response</t>
        </is>
      </c>
      <c r="B110" t="inlineStr" s="1">
        <is>
          <t>No. of Respondents</t>
        </is>
      </c>
      <c r="C110" t="inlineStr" s="1">
        <is>
          <t>Percentage</t>
        </is>
      </c>
    </row>
    <row r="111">
      <c r="A111" t="inlineStr" s="0">
        <is>
          <t xml:space="preserve">Highly satisfied</t>
        </is>
      </c>
      <c r="B111" s="0">
        <f>COUNTIF(RawData!$O$2:$O$101,"Highly satisfied")</f>
        <v>22</v>
      </c>
      <c r="C111" s="5">
        <f>B111/100</f>
        <v>0.22</v>
      </c>
    </row>
    <row r="112">
      <c r="A112" t="inlineStr" s="0">
        <is>
          <t xml:space="preserve">Satisfied</t>
        </is>
      </c>
      <c r="B112" s="0">
        <f>COUNTIF(RawData!$O$2:$O$101,"Satisfied")</f>
        <v>46</v>
      </c>
      <c r="C112" s="5">
        <f>B112/100</f>
        <v>0.46</v>
      </c>
    </row>
    <row r="113">
      <c r="A113" t="inlineStr" s="0">
        <is>
          <t xml:space="preserve">Neutral</t>
        </is>
      </c>
      <c r="B113" s="0">
        <f>COUNTIF(RawData!$O$2:$O$101,"Neutral")</f>
        <v>20</v>
      </c>
      <c r="C113" s="5">
        <f>B113/100</f>
        <v>0.2</v>
      </c>
    </row>
    <row r="114">
      <c r="A114" t="inlineStr" s="0">
        <is>
          <t xml:space="preserve">Dissatisfied</t>
        </is>
      </c>
      <c r="B114" s="0">
        <f>COUNTIF(RawData!$O$2:$O$101,"Dissatisfied")</f>
        <v>8</v>
      </c>
      <c r="C114" s="5">
        <f>B114/100</f>
        <v>0.08</v>
      </c>
    </row>
    <row r="115">
      <c r="A115" t="inlineStr" s="0">
        <is>
          <t xml:space="preserve">Highly dissatisfied</t>
        </is>
      </c>
      <c r="B115" s="0">
        <f>COUNTIF(RawData!$O$2:$O$101,"Highly dissatisfied")</f>
        <v>4</v>
      </c>
      <c r="C115" s="5">
        <f>B115/100</f>
        <v>0.04</v>
      </c>
    </row>
    <row r="116">
      <c r="A116" t="inlineStr" s="1">
        <is>
          <t xml:space="preserve">Total</t>
        </is>
      </c>
      <c r="B116" s="1">
        <f>SUM(B111:B115)</f>
        <v>100</v>
      </c>
      <c r="C116" s="6">
        <f>SUM(C111:C115)</f>
        <v>1.0</v>
      </c>
    </row>
    <row r="118">
      <c r="A118" t="inlineStr" s="4">
        <is>
          <t>Recommend to Others</t>
        </is>
      </c>
    </row>
    <row r="119">
      <c r="A119" t="inlineStr" s="1">
        <is>
          <t>Response</t>
        </is>
      </c>
      <c r="B119" t="inlineStr" s="1">
        <is>
          <t>No. of Respondents</t>
        </is>
      </c>
      <c r="C119" t="inlineStr" s="1">
        <is>
          <t>Percentage</t>
        </is>
      </c>
    </row>
    <row r="120">
      <c r="A120" t="inlineStr" s="0">
        <is>
          <t xml:space="preserve">Yes</t>
        </is>
      </c>
      <c r="B120" s="0">
        <f>COUNTIF(RawData!$P$2:$P$101,"Yes")</f>
        <v>78</v>
      </c>
      <c r="C120" s="5">
        <f>B120/100</f>
        <v>0.78</v>
      </c>
    </row>
    <row r="121">
      <c r="A121" t="inlineStr" s="0">
        <is>
          <t xml:space="preserve">No</t>
        </is>
      </c>
      <c r="B121" s="0">
        <f>COUNTIF(RawData!$P$2:$P$101,"No")</f>
        <v>9</v>
      </c>
      <c r="C121" s="5">
        <f>B121/100</f>
        <v>0.09</v>
      </c>
    </row>
    <row r="122">
      <c r="A122" t="inlineStr" s="0">
        <is>
          <t xml:space="preserve">Maybe</t>
        </is>
      </c>
      <c r="B122" s="0">
        <f>COUNTIF(RawData!$P$2:$P$101,"Maybe")</f>
        <v>13</v>
      </c>
      <c r="C122" s="5">
        <f>B122/100</f>
        <v>0.13</v>
      </c>
    </row>
    <row r="123">
      <c r="A123" t="inlineStr" s="1">
        <is>
          <t xml:space="preserve">Total</t>
        </is>
      </c>
      <c r="B123" s="1">
        <f>SUM(B120:B122)</f>
        <v>100</v>
      </c>
      <c r="C123" s="6">
        <f>SUM(C120:C122)</f>
        <v>1.0</v>
      </c>
    </row>
  </sheetData>
</worksheet>
</file>